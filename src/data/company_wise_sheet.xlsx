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nture" sheetId="1" r:id="rId5"/>
    <sheet state="visible" name="Accolite" sheetId="2" r:id="rId6"/>
    <sheet state="visible" name="Alstom" sheetId="3" r:id="rId7"/>
    <sheet state="visible" name="Amazon" sheetId="4" r:id="rId8"/>
    <sheet state="visible" name="Amex" sheetId="5" r:id="rId9"/>
    <sheet state="visible" name="Appian" sheetId="6" r:id="rId10"/>
    <sheet state="visible" name="Apple" sheetId="7" r:id="rId11"/>
    <sheet state="visible" name="Aptiv" sheetId="8" r:id="rId12"/>
    <sheet state="visible" name="Arcesium" sheetId="9" r:id="rId13"/>
    <sheet state="visible" name="Arista" sheetId="10" r:id="rId14"/>
    <sheet state="visible" name="Aspire sys" sheetId="11" r:id="rId15"/>
    <sheet state="visible" name="Astrazenca" sheetId="12" r:id="rId16"/>
    <sheet state="visible" name="Athena health" sheetId="13" r:id="rId17"/>
    <sheet state="visible" name="Bank of america" sheetId="14" r:id="rId18"/>
    <sheet state="visible" name="barclays" sheetId="15" r:id="rId19"/>
    <sheet state="visible" name="baton" sheetId="16" r:id="rId20"/>
    <sheet state="visible" name="bny" sheetId="17" r:id="rId21"/>
    <sheet state="visible" name="caterpillar" sheetId="18" r:id="rId22"/>
    <sheet state="visible" name="checktronix" sheetId="19" r:id="rId23"/>
    <sheet state="visible" name="chronus" sheetId="20" r:id="rId24"/>
    <sheet state="visible" name="DE shaw" sheetId="21" r:id="rId25"/>
    <sheet state="visible" name="citi" sheetId="22" r:id="rId26"/>
    <sheet state="visible" name="deloitte" sheetId="23" r:id="rId27"/>
    <sheet state="visible" name="dover" sheetId="24" r:id="rId28"/>
    <sheet state="visible" name="enphase" sheetId="25" r:id="rId29"/>
    <sheet state="visible" name="eucloid data sol" sheetId="26" r:id="rId30"/>
    <sheet state="visible" name="fidelity" sheetId="27" r:id="rId31"/>
    <sheet state="visible" name="gen" sheetId="28" r:id="rId32"/>
    <sheet state="visible" name="global analytics" sheetId="29" r:id="rId33"/>
    <sheet state="visible" name="goldman sachs" sheetId="30" r:id="rId34"/>
    <sheet state="visible" name="heftin ai" sheetId="31" r:id="rId35"/>
    <sheet state="visible" name="HSBC" sheetId="32" r:id="rId36"/>
    <sheet state="visible" name="Hubstream" sheetId="33" r:id="rId37"/>
    <sheet state="visible" name="IDFC" sheetId="34" r:id="rId38"/>
    <sheet state="visible" name="Infibeam avenues" sheetId="35" r:id="rId39"/>
    <sheet state="visible" name="infinera" sheetId="36" r:id="rId40"/>
    <sheet state="visible" name="KLA" sheetId="37" r:id="rId41"/>
    <sheet state="visible" name="Khoros" sheetId="38" r:id="rId42"/>
    <sheet state="visible" name="Loadshare ntk" sheetId="39" r:id="rId43"/>
    <sheet state="visible" name="LTI" sheetId="40" r:id="rId44"/>
    <sheet state="visible" name="Mathworks" sheetId="41" r:id="rId45"/>
    <sheet state="visible" name="Micron tech" sheetId="42" r:id="rId46"/>
    <sheet state="visible" name="microsoft" sheetId="43" r:id="rId47"/>
    <sheet state="visible" name="morgan stanley" sheetId="44" r:id="rId48"/>
    <sheet state="visible" name="mu sigma" sheetId="45" r:id="rId49"/>
    <sheet state="visible" name="natwest" sheetId="46" r:id="rId50"/>
    <sheet state="visible" name="NCR" sheetId="47" r:id="rId51"/>
    <sheet state="visible" name="netradyne" sheetId="48" r:id="rId52"/>
    <sheet state="visible" name="nokia" sheetId="49" r:id="rId53"/>
    <sheet state="visible" name="NVDIA" sheetId="50" r:id="rId54"/>
    <sheet state="visible" name="Optum" sheetId="51" r:id="rId55"/>
    <sheet state="visible" name="oracle" sheetId="52" r:id="rId56"/>
    <sheet state="visible" name="Q2" sheetId="53" r:id="rId57"/>
    <sheet state="visible" name="Quantiphi" sheetId="54" r:id="rId58"/>
    <sheet state="visible" name="Ramco" sheetId="55" r:id="rId59"/>
    <sheet state="visible" name="RBS" sheetId="56" r:id="rId60"/>
    <sheet state="visible" name="Roche Service and Solutions (RS" sheetId="57" r:id="rId61"/>
    <sheet state="visible" name="RtBrick" sheetId="58" r:id="rId62"/>
    <sheet state="visible" name="Samsung R&amp;D" sheetId="59" r:id="rId63"/>
    <sheet state="visible" name="SAP Labs" sheetId="60" r:id="rId64"/>
    <sheet state="visible" name="Schneider Electric" sheetId="61" r:id="rId65"/>
    <sheet state="visible" name="Software AG" sheetId="62" r:id="rId66"/>
    <sheet state="visible" name="Standard Chartered" sheetId="63" r:id="rId67"/>
    <sheet state="visible" name="TCS" sheetId="64" r:id="rId68"/>
    <sheet state="visible" name="Tekion" sheetId="65" r:id="rId69"/>
    <sheet state="visible" name="Temenos" sheetId="66" r:id="rId70"/>
    <sheet state="visible" name="Trimble" sheetId="67" r:id="rId71"/>
    <sheet state="visible" name="Vegrow" sheetId="68" r:id="rId72"/>
    <sheet state="visible" name="Verizon" sheetId="69" r:id="rId73"/>
    <sheet state="visible" name="Versa ntk" sheetId="70" r:id="rId74"/>
    <sheet state="visible" name="Vivriti cap" sheetId="71" r:id="rId75"/>
    <sheet state="visible" name="VISA" sheetId="72" r:id="rId76"/>
    <sheet state="visible" name="Walmart" sheetId="73" r:id="rId77"/>
    <sheet state="visible" name="Wells Fargo" sheetId="74" r:id="rId78"/>
    <sheet state="visible" name="WD" sheetId="75" r:id="rId79"/>
    <sheet state="visible" name="Wex fintech" sheetId="76" r:id="rId80"/>
    <sheet state="visible" name="wipro" sheetId="77" r:id="rId81"/>
    <sheet state="visible" name="Zoho" sheetId="78" r:id="rId82"/>
  </sheets>
  <definedNames>
    <definedName hidden="1" localSheetId="28" name="_xlnm._FilterDatabase">'global analytics'!$A$1:$G$19</definedName>
    <definedName hidden="1" localSheetId="29" name="_xlnm._FilterDatabase">'goldman sachs'!$A$1:$G$16</definedName>
    <definedName hidden="1" localSheetId="30" name="_xlnm._FilterDatabase">'heftin ai'!$A$1:$G$5</definedName>
    <definedName hidden="1" localSheetId="31" name="_xlnm._FilterDatabase">HSBC!$A$1:$G$6</definedName>
    <definedName hidden="1" localSheetId="32" name="_xlnm._FilterDatabase">Hubstream!$A$1:$G$5</definedName>
    <definedName hidden="1" localSheetId="33" name="_xlnm._FilterDatabase">IDFC!$A$1:$G$65</definedName>
    <definedName hidden="1" localSheetId="34" name="_xlnm._FilterDatabase">'Infibeam avenues'!$A$1:$G$8</definedName>
    <definedName hidden="1" localSheetId="35" name="_xlnm._FilterDatabase">infinera!$A$1:$G$14</definedName>
    <definedName hidden="1" localSheetId="36" name="_xlnm._FilterDatabase">KLA!$A$1:$G$10</definedName>
    <definedName hidden="1" localSheetId="37" name="_xlnm._FilterDatabase">Khoros!$A$1:$G$7</definedName>
    <definedName hidden="1" localSheetId="38" name="_xlnm._FilterDatabase">'Loadshare ntk'!$A$1:$G$10</definedName>
    <definedName hidden="1" localSheetId="39" name="_xlnm._FilterDatabase">LTI!$A$1:$G$8</definedName>
    <definedName hidden="1" localSheetId="40" name="_xlnm._FilterDatabase">Mathworks!$A$1:$G$2</definedName>
    <definedName hidden="1" localSheetId="41" name="_xlnm._FilterDatabase">'Micron tech'!$A$1:$G$26</definedName>
    <definedName hidden="1" localSheetId="68" name="_xlnm._FilterDatabase">Verizon!$A$1:$G$26</definedName>
    <definedName hidden="1" localSheetId="69" name="_xlnm._FilterDatabase">'Versa ntk'!$A$1:$G$15</definedName>
    <definedName hidden="1" localSheetId="70" name="_xlnm._FilterDatabase">'Vivriti cap'!$A$1:$G$9</definedName>
    <definedName hidden="1" localSheetId="71" name="_xlnm._FilterDatabase">VISA!$A$1:$G$65</definedName>
    <definedName hidden="1" localSheetId="72" name="_xlnm._FilterDatabase">Walmart!$A$1:$G$21</definedName>
    <definedName hidden="1" localSheetId="73" name="_xlnm._FilterDatabase">'Wells Fargo'!$A$1:$G$111</definedName>
    <definedName hidden="1" localSheetId="74" name="_xlnm._FilterDatabase">WD!$A$1:$G$8</definedName>
    <definedName hidden="1" localSheetId="75" name="_xlnm._FilterDatabase">'Wex fintech'!$A$1:$G$19</definedName>
    <definedName hidden="1" localSheetId="76" name="_xlnm._FilterDatabase">wipro!$A$1:$G$10</definedName>
    <definedName hidden="1" localSheetId="77" name="_xlnm._FilterDatabase">Zoho!$A$1:$G$7</definedName>
  </definedNames>
  <calcPr/>
</workbook>
</file>

<file path=xl/sharedStrings.xml><?xml version="1.0" encoding="utf-8"?>
<sst xmlns="http://schemas.openxmlformats.org/spreadsheetml/2006/main" count="3777" uniqueCount="1241">
  <si>
    <t>S No</t>
  </si>
  <si>
    <t>Name</t>
  </si>
  <si>
    <t>Level</t>
  </si>
  <si>
    <t>Link</t>
  </si>
  <si>
    <t>Asked in</t>
  </si>
  <si>
    <t>Pattern Type</t>
  </si>
  <si>
    <t>year</t>
  </si>
  <si>
    <t>Company</t>
  </si>
  <si>
    <t>Year</t>
  </si>
  <si>
    <t>Minimize Absolute Difference by Swapping Digits (string numbers)</t>
  </si>
  <si>
    <t>Happy arrays</t>
  </si>
  <si>
    <t>Greedy</t>
  </si>
  <si>
    <t>Microsoft</t>
  </si>
  <si>
    <t>Medium</t>
  </si>
  <si>
    <t>OA</t>
  </si>
  <si>
    <t>2025/26</t>
  </si>
  <si>
    <t>Reverse linked list</t>
  </si>
  <si>
    <t>criitical connections</t>
  </si>
  <si>
    <t>Minimize Absolute Difference by Swapping Digits (linked-list numbers)</t>
  </si>
  <si>
    <t>Return to Start Point via Direction String (2D grid excluding South)</t>
  </si>
  <si>
    <t>Simulation / Grid / Backtracking</t>
  </si>
  <si>
    <t>Hard</t>
  </si>
  <si>
    <t>Return to Start Point via Direction String (N/E/W variant)</t>
  </si>
  <si>
    <t>Simulation / Geometry</t>
  </si>
  <si>
    <t>Count Subarrays with Given Sum</t>
  </si>
  <si>
    <t>Prefix Sum / Hashing</t>
  </si>
  <si>
    <t>Easy-Medium</t>
  </si>
  <si>
    <t>Interview</t>
  </si>
  <si>
    <t>Insert into Binary Search Tree</t>
  </si>
  <si>
    <t>BST</t>
  </si>
  <si>
    <t>Easy</t>
  </si>
  <si>
    <t>https://leetcode.com/problems/critical-connections-in-a-network/description/</t>
  </si>
  <si>
    <t>https://leetcode.com/problems/reverse-linked-list/description/</t>
  </si>
  <si>
    <t>https://www.csinfo360.com/2020/08/program-to-find-out-all-happy-numbers-in-given-range.html</t>
  </si>
  <si>
    <t>Search Words by Given Prefix</t>
  </si>
  <si>
    <t>Trie / Sorting + Binary Search</t>
  </si>
  <si>
    <t>Remove Duplicates from Sorted Linked List (keep only unique values)</t>
  </si>
  <si>
    <t>Linked List</t>
  </si>
  <si>
    <t>Print All Primes up to 500</t>
  </si>
  <si>
    <t>Sieve of Eratosthenes</t>
  </si>
  <si>
    <t>Restore IP Addresses</t>
  </si>
  <si>
    <t>Backtracking</t>
  </si>
  <si>
    <t>favourite genre</t>
  </si>
  <si>
    <t>interview</t>
  </si>
  <si>
    <t>https://algo.monster/problems/favorite_genres</t>
  </si>
  <si>
    <t>Reverse words in a String</t>
  </si>
  <si>
    <t>queue using stack</t>
  </si>
  <si>
    <t>https://leetcode.com/problems/reverse-words-in-a-string/descript</t>
  </si>
  <si>
    <t>https://leetcode.com/problems/implement-queue-using-stacks/</t>
  </si>
  <si>
    <t>clone list with random pointer</t>
  </si>
  <si>
    <t>Linked List Loop Detection</t>
  </si>
  <si>
    <t>https://www.geeksforgeeks.org/dsa/detect-loop-in-a-linked-list/</t>
  </si>
  <si>
    <t>https://leetcode.com/problems/copy-list-with-random-pointer/</t>
  </si>
  <si>
    <t>tree traversals</t>
  </si>
  <si>
    <t>https://www.geeksforgeeks.org/tree-traversals-inorder-preorder-and-postorder/</t>
  </si>
  <si>
    <t>count pair with given sum in an array</t>
  </si>
  <si>
    <t>https://www.geeksforgeeks.org/problems/count-pairs-with-given-sum--150253/1</t>
  </si>
  <si>
    <t>Insertion in BST</t>
  </si>
  <si>
    <t>https://leetcode.com/problems/insert-into-a-binary-search-tree/description/</t>
  </si>
  <si>
    <t>Searching in BST</t>
  </si>
  <si>
    <t>merge two sorted lists</t>
  </si>
  <si>
    <t>https://leetcode.com/problems/search-in-a-binary-search-tree/description/</t>
  </si>
  <si>
    <t>https://leetcode.com/problems/merge-two-sorted-lists/</t>
  </si>
  <si>
    <t>binary tree to DLL</t>
  </si>
  <si>
    <t>https://www.geeksforgeeks.org/problems/binary-tree-to-dll/1</t>
  </si>
  <si>
    <t>Tic tac toe</t>
  </si>
  <si>
    <t>https://leetcode.com/problems/find-winner-on-a-tic-tac-toe-game/description/</t>
  </si>
  <si>
    <t>connect nodes in a level of a binary tree</t>
  </si>
  <si>
    <t>Longest Substring Without Repeating Characters</t>
  </si>
  <si>
    <t>https://leetcode.com/problems/populating-next-right-pointers-in-each-node/description/</t>
  </si>
  <si>
    <t>https://leetcode.com/problems/longest-substring-without-repeating-characters/description/</t>
  </si>
  <si>
    <t>search in sorted matrix</t>
  </si>
  <si>
    <t>https://leetcode.com/problems/search-a-2d-matrix/description/</t>
  </si>
  <si>
    <t>String rotations of each other</t>
  </si>
  <si>
    <t>https://www.geeksforgeeks.org/problems/check-if-strings-are-rotations-of-each-other-or-not-1587115620/1</t>
  </si>
  <si>
    <t>Design an ordered stream</t>
  </si>
  <si>
    <t>https://leetcode.com/problems/design-an-ordered-stream/description/</t>
  </si>
  <si>
    <t>Process scheduler</t>
  </si>
  <si>
    <t>https://leetcode.com/problems/task-scheduler/description/</t>
  </si>
  <si>
    <t>Number of bulbs switched on</t>
  </si>
  <si>
    <t>https://www.geeksforgeeks.org/puzzle-1000-light-bulbs-switched-on-off-by-1000-persons-passing-by/</t>
  </si>
  <si>
    <t>BST operations</t>
  </si>
  <si>
    <t>https://medium.com/@sunnykr3913/binary-search-tree-bst-introduction-operations-and-leetcode-problems-498006ca27f8</t>
  </si>
  <si>
    <t>Quiz</t>
  </si>
  <si>
    <t>Minimum keypad clicks</t>
  </si>
  <si>
    <t>https://algo.monster/liteproblems/2268</t>
  </si>
  <si>
    <t>Max grayness</t>
  </si>
  <si>
    <t>https://aonecode.com/amazon-online-assessment/Get-Maximum-Greyness</t>
  </si>
  <si>
    <t>Run length encoding</t>
  </si>
  <si>
    <t>https://leetcode.com/problems/string-compression/description/</t>
  </si>
  <si>
    <t>longest happy string</t>
  </si>
  <si>
    <t>https://leetcode.com/problems/longest-happy-string/description/</t>
  </si>
  <si>
    <t>Print Tree Cousins with Non-Prime Siblings</t>
  </si>
  <si>
    <t>https://leetcode.com/problems/cousins-in-binary-tree/description/</t>
  </si>
  <si>
    <t>Equilibrium Index of an Array</t>
  </si>
  <si>
    <t>https://leetcode.com/problems/find-pivot-index/description/</t>
  </si>
  <si>
    <t>Sort array by parity</t>
  </si>
  <si>
    <t>https://leetcode.com/problems/sort-array-by-parity/description/</t>
  </si>
  <si>
    <t>Find the Missing Number</t>
  </si>
  <si>
    <t>https://leetcode.com/problems/missing-number/description/</t>
  </si>
  <si>
    <t>Detect Loop in a Linked List</t>
  </si>
  <si>
    <t>https://leetcode.com/problems/linked-list-cycle/description/</t>
  </si>
  <si>
    <t>Wildcard string Matching</t>
  </si>
  <si>
    <t>https://www.geeksforgeeks.org/dsa/wildcard-pattern-matching/</t>
  </si>
  <si>
    <t>Divisible Cost Pairs</t>
  </si>
  <si>
    <t>https://leetcode.com/problems/count-array-pairs-divisible-by-k/description/</t>
  </si>
  <si>
    <t>Backspace String Compare</t>
  </si>
  <si>
    <t>https://algo.monster/liteproblems/844</t>
  </si>
  <si>
    <t>Minimum Deletions for Lexicographically Sorted String</t>
  </si>
  <si>
    <t>Inorder Successor in BST</t>
  </si>
  <si>
    <t>https://www.geeksforgeeks.org/problems/inorder-successor-in-bst/1</t>
  </si>
  <si>
    <t>https://www.geeksforgeeks.org/dsa/lexicographically-smallest-string-by-removing-exactly-k-characters/</t>
  </si>
  <si>
    <t>Detonate Maximum Bombs</t>
  </si>
  <si>
    <t>https://leetcode.com/problems/detonate-the-maximum-bombs/description/</t>
  </si>
  <si>
    <t xml:space="preserve">Sort Colors </t>
  </si>
  <si>
    <t>Minimize Difference Between Two Large Integers:</t>
  </si>
  <si>
    <t>https://leetcode.com/problems/sort-colors/description/</t>
  </si>
  <si>
    <t>https://leetcode.com/problems/minimize-the-maximum-difference-of-pairs/description/</t>
  </si>
  <si>
    <t>Lexicographically Smallest Unique String</t>
  </si>
  <si>
    <t>Second Largest Element in an Array</t>
  </si>
  <si>
    <t>https://www.geeksforgeeks.org/dsa/k-th-lexicographically-smallest-unique-substring-of-a-given-string/</t>
  </si>
  <si>
    <t>https://www.geeksforgeeks.org/problems/second-largest3735/1</t>
  </si>
  <si>
    <t>Nearest Exit / Assassin Grid Escape</t>
  </si>
  <si>
    <t>Word Break Problem</t>
  </si>
  <si>
    <t>https://leetcode.com/problems/nearest-exit-from-entrance-in-maze/description/</t>
  </si>
  <si>
    <t>https://leetcode.com/problems/word-break/description/</t>
  </si>
  <si>
    <t>Garbage Collection Optimization</t>
  </si>
  <si>
    <t>Sum of Prefix Scores of String</t>
  </si>
  <si>
    <t>https://leetcode.com/problems/minimum-amount-of-time-to-collect-garbage/description/</t>
  </si>
  <si>
    <t>https://leetcode.com/problems/sum-of-prefix-scores-of-strings/description/</t>
  </si>
  <si>
    <t>Maximum Subarray Sum with Equal Endpoints</t>
  </si>
  <si>
    <t>Final Discounted Price Calculation</t>
  </si>
  <si>
    <t>https://www.geeksforgeeks.org/dsa/maximum-sum-subarray-such-that-start-and-end-values-are-same/</t>
  </si>
  <si>
    <t>https://leetcode.com/problems/final-prices-with-a-special-discount-in-a-shop/description/</t>
  </si>
  <si>
    <t>Minimum Moves in Grid with Variable Jump Size</t>
  </si>
  <si>
    <t>https://leetcode.com/problems/minimum-moves-to-reach-target-in-grid/description/</t>
  </si>
  <si>
    <t>Reverse String Word by Word</t>
  </si>
  <si>
    <t>https://leetcode.com/problems/reverse-words-in-a-string/description/</t>
  </si>
  <si>
    <t>Enclosed Land Region Count</t>
  </si>
  <si>
    <t>https://leetcode.com/problems/number-of-enclaves/description/</t>
  </si>
  <si>
    <t>Minimum Removals for Non-Decreasing String</t>
  </si>
  <si>
    <t>https://leetcode.com/problems/minimum-operations-to-make-array-non-decreasing/description/</t>
  </si>
  <si>
    <t>Koko Eating Bananas</t>
  </si>
  <si>
    <t>https://leetcode.com/problems/koko-eating-bananas/description/</t>
  </si>
  <si>
    <t>Minimize Difference Between Digit Strings with Minimum Swaps</t>
  </si>
  <si>
    <t>https://leetcode.com/discuss/post/6332783/microsoft-sse-oa-by-anonymous_user-qew3/</t>
  </si>
  <si>
    <t>Best Time to Buy and Sell Stock</t>
  </si>
  <si>
    <t>https://leetcode.com/problems/best-time-to-buy-and-sell-stock/description/</t>
  </si>
  <si>
    <t>Maximum 4-Digit Number in a Grid Path:</t>
  </si>
  <si>
    <t>https://leetcode.com/problems/maximum-path-score-in-a-grid/</t>
  </si>
  <si>
    <t>2027 and 2028</t>
  </si>
  <si>
    <t>Merge Overlapping Intervals</t>
  </si>
  <si>
    <t>https://leetcode.com/problems/merge-intervals/description/</t>
  </si>
  <si>
    <t>Maximum Subarray (Kadane's Algorithm Variant)</t>
  </si>
  <si>
    <t>https://leetcode.com/problems/maximum-subarray/description/</t>
  </si>
  <si>
    <t>Josephus Problem</t>
  </si>
  <si>
    <t>https://www.geeksforgeeks.org/problems/josephus-problem/1</t>
  </si>
  <si>
    <t>Ticket Queue Offset Calculation</t>
  </si>
  <si>
    <t>https://leetcode.com/problems/time-needed-to-buy-tickets/description/</t>
  </si>
  <si>
    <t>Two Sum</t>
  </si>
  <si>
    <t>https://leetcode.com/problems/two-sum/description/</t>
  </si>
  <si>
    <t>2026 and 2027</t>
  </si>
  <si>
    <t>Parenthesis Matching</t>
  </si>
  <si>
    <t>https://leetcode.com/problems/valid-parentheses/description/</t>
  </si>
  <si>
    <t>Bubble Sort</t>
  </si>
  <si>
    <t>add Two Numbers Represented by Two Arrays</t>
  </si>
  <si>
    <t>https://www.geeksforgeeks.org/problems/bubble-sort/1</t>
  </si>
  <si>
    <t>https://www.geeksforgeeks.org/problems/sum-of-two-numbers-represented-as-arrays3110/1</t>
  </si>
  <si>
    <t>Heavy/Light Ball Balance Scale Puzzle</t>
  </si>
  <si>
    <t>https://www.geeksforgeeks.org/aptitude/puzzle-8-balls-problem/</t>
  </si>
  <si>
    <t>Add Two Numbers Represented by Linked Lists</t>
  </si>
  <si>
    <t>https://leetcode.com/problems/add-two-numbers/description/</t>
  </si>
  <si>
    <t>2026 and 2028</t>
  </si>
  <si>
    <t>Insert and Merge Schedules</t>
  </si>
  <si>
    <t>Merge Two Sorted Arrays In-Place</t>
  </si>
  <si>
    <t>https://leetcode.com/problems/merge-sorted-array/description/</t>
  </si>
  <si>
    <r>
      <rPr>
        <rFont val="Arial"/>
        <color rgb="FF1155CC"/>
        <u/>
      </rPr>
      <t>https://leetcode.com/problems/insert-interval/description/</t>
    </r>
    <r>
      <rPr>
        <rFont val="Arial"/>
      </rPr>
      <t>/</t>
    </r>
  </si>
  <si>
    <t>Restrictive Candy Crush / Consecutive Character Removal</t>
  </si>
  <si>
    <t>https://www.geeksforgeeks.org/problems/restrictive-candy-crush--141631/1</t>
  </si>
  <si>
    <t>Lowest Common Ancestor (LCA) in a BST:</t>
  </si>
  <si>
    <t>https://leetcode.com/problems/lowest-common-ancestor-of-a-binary-search-tree/descript</t>
  </si>
  <si>
    <t>First and Last Occurrence</t>
  </si>
  <si>
    <t>https://leetcode.com/problems/find-first-and-last-position-of-element-in-sorted-array/description/</t>
  </si>
  <si>
    <t>Min-Heap Implementation</t>
  </si>
  <si>
    <t>https://www.geeksforgeeks.org/problems/min-heap-implementation/1</t>
  </si>
  <si>
    <t>Minimum Corrections for a Stable Binary String</t>
  </si>
  <si>
    <t>https://leetcode.com/problems/minimum-number-of-changes-to-make-binary-string-beautiful/description/</t>
  </si>
  <si>
    <t>longest Common Prefix Among Any Pair of String</t>
  </si>
  <si>
    <t>https://leetcode.com/problems/longest-common-prefix/description/</t>
  </si>
  <si>
    <t>Two-Array Target Pair Sum</t>
  </si>
  <si>
    <t>https://leetcode.com/problems/finding-pairs-with-a-certain-sum/description/</t>
  </si>
  <si>
    <t>Reverse Vowels of a String</t>
  </si>
  <si>
    <t>https://leetcode.com/problems/reverse-vowels-of-a-string/description/</t>
  </si>
  <si>
    <t>Circular Manhole Cover Logic</t>
  </si>
  <si>
    <t>https://www.mycoted.com/Manhole_Covers</t>
  </si>
  <si>
    <t>Cake Cut Puzzle</t>
  </si>
  <si>
    <t>https://www.geeksforgeeks.org/aptitude/puzzle-3-cuts-cut-round-cake-8-equal-pieces/</t>
  </si>
  <si>
    <t>Maximum Array Score via Deletions</t>
  </si>
  <si>
    <t>Longest Common Prefix</t>
  </si>
  <si>
    <t>https://algo.monster/liteproblems/3496</t>
  </si>
  <si>
    <t>Contains Duplicate II (Within Distance $D$)</t>
  </si>
  <si>
    <t>https://leetcode.com/problems/contains-duplicate-ii/description/</t>
  </si>
  <si>
    <t>Asteroid Collision</t>
  </si>
  <si>
    <t>https://leetcode.com/problems/asteroid-collision/description/</t>
  </si>
  <si>
    <t>Missing Number</t>
  </si>
  <si>
    <t xml:space="preserve">Daily Temperatures </t>
  </si>
  <si>
    <t>https://leetcode.com/problems/daily-temperatures/description/</t>
  </si>
  <si>
    <t>Prime Factors of a Number</t>
  </si>
  <si>
    <t>https://www.geeksforgeeks.org/dsa/print-all-prime-factors-of-a-given-number/</t>
  </si>
  <si>
    <t>Max Consecutive Ones</t>
  </si>
  <si>
    <t>Substring Matching Pattern:</t>
  </si>
  <si>
    <t>https://leetcode.com/problems/max-consecutive-ones/description/</t>
  </si>
  <si>
    <t>https://leetcode.com/problems/substring-matching-pattern/description/</t>
  </si>
  <si>
    <t>Remove One Element to Make Array Strictly Increasing</t>
  </si>
  <si>
    <t>https://leetcode.com/problems/remove-one-element-to-make-the-array-strictly-increasing/description/</t>
  </si>
  <si>
    <t>Count Set Bits (1s) in Binary Representation</t>
  </si>
  <si>
    <t>https://leetcode.com/problems/number-of-1-bits/description/</t>
  </si>
  <si>
    <t>K-th Largest Element in an Array</t>
  </si>
  <si>
    <t>https://leetcode.com/problems/kth-largest-element-in-an-array/description/</t>
  </si>
  <si>
    <t>Level-Order Binary Tree Traversal):</t>
  </si>
  <si>
    <t>Search in an Infinite Sorted Array</t>
  </si>
  <si>
    <t>https://leetcode.com/problems/binary-tree-level-order-traversal/description/</t>
  </si>
  <si>
    <t>https://takeuforward.org/data-structure/search-in-an-infinite-sorted-array</t>
  </si>
  <si>
    <t>Coin Change DP Variant</t>
  </si>
  <si>
    <t>Find Missing Number in a Range</t>
  </si>
  <si>
    <t>https://leetcode.com/problems/missing-number/descript</t>
  </si>
  <si>
    <t>https://leetcode.com/problems/coin-change/description/</t>
  </si>
  <si>
    <t>Max Reward Matrix Path</t>
  </si>
  <si>
    <t>https://www.geeksforgeeks.org/problems/path-in-matrix3805/1</t>
  </si>
  <si>
    <t>Spiral Matrix Traversal</t>
  </si>
  <si>
    <t>https://leetcode.com/problems/spiral-matrix/description/</t>
  </si>
  <si>
    <t>Stone Removal Game:</t>
  </si>
  <si>
    <t>Minimum Meeting Rooms</t>
  </si>
  <si>
    <t>https://www.geeksforgeeks.org/dsa/find-the-winner-of-a-game-of-removing-at-most-3-stones-from-a-pile-in-each-turn/</t>
  </si>
  <si>
    <t>https://unwiredlearning.com/blog/meeting-rooms-ii</t>
  </si>
  <si>
    <t>Element with Odd Occurrences</t>
  </si>
  <si>
    <t>https://www.geeksforgeeks.org/dsa/find-the-number-occurring-odd-number-of-times/</t>
  </si>
  <si>
    <t>Maximum Teams of Size K with Players from Different Countries</t>
  </si>
  <si>
    <t>https://www.geeksforgeeks.org/dsa/maximum-number-of-teams-of-size-k-possible-with-each-player-from-different-country/</t>
  </si>
  <si>
    <t>Count Set Bits in Sorted Binary Array</t>
  </si>
  <si>
    <t>https://www.geeksforgeeks.org/problems/count-1s-in-binary-array-1587115620/1</t>
  </si>
  <si>
    <t>Divide Two Integers Without Direct Arithmetic</t>
  </si>
  <si>
    <t>https://leetcode.com/problems/divide-two-integers/description/</t>
  </si>
  <si>
    <t>Swap Two Variables Without Temp Variable</t>
  </si>
  <si>
    <t>https://www.geeksforgeeks.org/dsa/swap-two-numbers/</t>
  </si>
  <si>
    <t>Total Cost to Hire K Workers (Maximum Cost Variation)</t>
  </si>
  <si>
    <t>https://leetcode.com/problems/total-cost-to-hire-k-workers/description/</t>
  </si>
  <si>
    <t>Simplify Path</t>
  </si>
  <si>
    <t>https://leetcode.com/problems/simplify-path/description/</t>
  </si>
  <si>
    <t>Maximum Sum of Longest Root-to-Leaf Paths in Binary Tree</t>
  </si>
  <si>
    <t>https://www.geeksforgeeks.org/dsa/sum-nodes-longest-path-root-leaf-node/</t>
  </si>
  <si>
    <t>Sort Characters by Frequency and Lexicographical Order</t>
  </si>
  <si>
    <t>https://leetcode.com/problems/sort-characters-by-frequency/description/</t>
  </si>
  <si>
    <t>Flattening a Linked List</t>
  </si>
  <si>
    <t>https://www.geeksforgeeks.org/problems/flattening-a-linked-list/1</t>
  </si>
  <si>
    <t>Rotten oranges</t>
  </si>
  <si>
    <t>https://leetcode.com/problems/rotting-oranges/description/</t>
  </si>
  <si>
    <t>Delete nth node from last in a linked list</t>
  </si>
  <si>
    <t>https://leetcode.com/problems/remove-nth-node-from-end-of-list/description/</t>
  </si>
  <si>
    <t>Find first repeated character in string</t>
  </si>
  <si>
    <t>https://www.geeksforgeeks.org/dsa/find-the-first-repeated-character-in-a-string/</t>
  </si>
  <si>
    <t>Reverse sentence</t>
  </si>
  <si>
    <t>https://www.geeksforgeeks.org/reverse-words-in-a-given-string/</t>
  </si>
  <si>
    <t>Maximum distance between two occurences of a element</t>
  </si>
  <si>
    <t>https://www.geeksforgeeks.org/javascript/javascript-program-to-find-maximum-distance-between-two-occurrences-of-same-element-in-array/</t>
  </si>
  <si>
    <t>nothing</t>
  </si>
  <si>
    <t>Detect and Remove Loop in a Linked List</t>
  </si>
  <si>
    <t>https://www.geeksforgeeks.org/dsa/detect-and-remove-loop-in-a-linked-list/</t>
  </si>
  <si>
    <t>Finding max, min of given numbers</t>
  </si>
  <si>
    <t xml:space="preserve">interview </t>
  </si>
  <si>
    <t>https://www.geeksforgeeks.org/problems/find-minimum-and-maximum-element-in-an-array4428/1</t>
  </si>
  <si>
    <t>Minimum Length Subarray with K Distinct Integers</t>
  </si>
  <si>
    <t>https://www.geeksforgeeks.org/dsa/smallest-subarray-k-distinct-numbers/</t>
  </si>
  <si>
    <t>binary tree lowest common ancestor</t>
  </si>
  <si>
    <t>Implement Stack using Queues</t>
  </si>
  <si>
    <t>https://leetcode.com/problems/implement-stack-using-queues/description/</t>
  </si>
  <si>
    <t>https://leetcode.com/problems/lowest-common-ancestor-of-a-binary-tree/description/</t>
  </si>
  <si>
    <t>Find Missing Elements in an Array</t>
  </si>
  <si>
    <t>Nuts and Bolts Problem (Lock and Key Matching)</t>
  </si>
  <si>
    <t>https://www.geeksforgeeks.org/problems/nuts-and-bolts-problem0431/1</t>
  </si>
  <si>
    <t>String Generation</t>
  </si>
  <si>
    <t>https://leetcode.com/discuss/post/4006812/string-generation-oa-question-by-anonymo-y71e/</t>
  </si>
  <si>
    <t>Pascal triangle</t>
  </si>
  <si>
    <t>https://leetcode.com/problems/pascals-triangle/description/</t>
  </si>
  <si>
    <t>Given an array, for example arr = [“apple”, “orange”,” apple”, “orange”, “grapes”] we have to print “yes” for repeated elements and “No” for non-repeated elements in the array.</t>
  </si>
  <si>
    <t>Count Types of Characters</t>
  </si>
  <si>
    <t>https://www.geeksforgeeks.org/problems/count-type-of-characters3635/1</t>
  </si>
  <si>
    <t>Lexicographically smallest string by removing duplicates</t>
  </si>
  <si>
    <t>https://leetcode.com/problems/lexicographically-smallest-string-after-deleting-duplicate-characters/description/?</t>
  </si>
  <si>
    <t>Nothing</t>
  </si>
  <si>
    <t>Detect Cycle in a Linked List</t>
  </si>
  <si>
    <t>Distinct Digit Numbers</t>
  </si>
  <si>
    <r>
      <rPr>
        <rFont val="Arial"/>
        <color rgb="FF1155CC"/>
        <u/>
      </rPr>
      <t>https://leetcode.com/problems/linked-list-cycle/</t>
    </r>
  </si>
  <si>
    <t>-</t>
  </si>
  <si>
    <t>Slot Machine 2.0</t>
  </si>
  <si>
    <t>Technical/HR</t>
  </si>
  <si>
    <t>Triangle Coordinate Check (Point-in-Triangle)</t>
  </si>
  <si>
    <t>Remove All Adjacent Duplicates in String</t>
  </si>
  <si>
    <t>Bit Profit</t>
  </si>
  <si>
    <r>
      <rPr>
        <rFont val="Arial"/>
        <color rgb="FF1155CC"/>
        <u/>
      </rPr>
      <t>https://leetcode.com/problems/remove-all-adjacent-duplicates-in-string/</t>
    </r>
  </si>
  <si>
    <t>Puzzle: Torch and Bridge</t>
  </si>
  <si>
    <r>
      <rPr>
        <rFont val="Arial"/>
        <color rgb="FF1155CC"/>
        <u/>
      </rPr>
      <t>https://www.geeksforgeeks.org/puzzle-18-torch-and-bridge/</t>
    </r>
  </si>
  <si>
    <t>Find Position of Element in Sorted Infinite Array</t>
  </si>
  <si>
    <r>
      <rPr>
        <rFont val="Arial"/>
        <color rgb="FF1155CC"/>
        <u/>
      </rPr>
      <t>https://www.geeksforgeeks.org/find-position-element-sorted-array-infinite-numbers/</t>
    </r>
  </si>
  <si>
    <t>HR/Technical</t>
  </si>
  <si>
    <t>Sort Array According to Count of Set Bits</t>
  </si>
  <si>
    <r>
      <rPr>
        <rFont val="Arial"/>
        <color rgb="FF1155CC"/>
        <u/>
      </rPr>
      <t>https://www.geeksforgeeks.org/sort-array-according-count-set-bits/</t>
    </r>
  </si>
  <si>
    <t>Reverse a String</t>
  </si>
  <si>
    <r>
      <rPr>
        <rFont val="Arial"/>
        <color rgb="FF1155CC"/>
        <u/>
      </rPr>
      <t>https://leetcode.com/problems/reverse-string/</t>
    </r>
  </si>
  <si>
    <t>Technical</t>
  </si>
  <si>
    <t>Count Frequency of Each Character in a String</t>
  </si>
  <si>
    <t>Array Efficiency - Maximum Equal-Sum Pairing</t>
  </si>
  <si>
    <t>String Convertibility via Swap/Shift Operations</t>
  </si>
  <si>
    <t>2D Matrix Minimum Steps with K-Jump</t>
  </si>
  <si>
    <t>Array Range Update Operations</t>
  </si>
  <si>
    <t>Character Frequency Array (A-Z) in O(N)</t>
  </si>
  <si>
    <t>Aggressive Cows (Binary Search)</t>
  </si>
  <si>
    <t>Puzzle: Bag of Coins</t>
  </si>
  <si>
    <r>
      <rPr>
        <rFont val="Arial"/>
        <color rgb="FF1155CC"/>
        <u/>
      </rPr>
      <t>https://www.geeksforgeeks.org/puzzle-bag-of-coins/</t>
    </r>
  </si>
  <si>
    <r>
      <rPr>
        <rFont val="Arial"/>
        <color rgb="FF1155CC"/>
        <u/>
      </rPr>
      <t>https://www.spoj.com/problems/AGGRCOW/</t>
    </r>
  </si>
  <si>
    <t>Majority Element (Moore's Voting Algorithm)</t>
  </si>
  <si>
    <r>
      <rPr>
        <rFont val="Arial"/>
        <color rgb="FF1155CC"/>
        <u/>
      </rPr>
      <t>https://www.geeksforgeeks.org/majority-element/</t>
    </r>
  </si>
  <si>
    <t>Maximum Data Transfer Time Between Servers (Tree Diameter)</t>
  </si>
  <si>
    <r>
      <rPr>
        <rFont val="Arial"/>
        <color rgb="FF1155CC"/>
        <u/>
      </rPr>
      <t>https://www.geeksforgeeks.org/diameter-n-ary-tree/</t>
    </r>
  </si>
  <si>
    <t>Count Ways to Reach the Nth Stair</t>
  </si>
  <si>
    <r>
      <rPr>
        <rFont val="Arial"/>
        <color rgb="FF1155CC"/>
        <u/>
      </rPr>
      <t>https://www.geeksforgeeks.org/count-ways-reach-nth-stair/</t>
    </r>
  </si>
  <si>
    <t>Maze Game - Earliest Visit Time (Modified Dijkstra)</t>
  </si>
  <si>
    <t>Minimum Security Levels Grouping</t>
  </si>
  <si>
    <t>Maximum Customers Served Opening At Most 2 Shops</t>
  </si>
  <si>
    <t>Bubble Sort and Merge Sort Implementation</t>
  </si>
  <si>
    <t>Elevator Floor Reachability</t>
  </si>
  <si>
    <t>Division and Multiplication Without Operators</t>
  </si>
  <si>
    <t>Array Max-to-Min in K Steps</t>
  </si>
  <si>
    <t>Valid Palindrome (Reverse Number/String)</t>
  </si>
  <si>
    <t>Histogram Rectangle Removal</t>
  </si>
  <si>
    <r>
      <rPr>
        <rFont val="Arial"/>
        <color rgb="FF1155CC"/>
        <u/>
      </rPr>
      <t>https://leetcode.com/problems/valid-palindrome/</t>
    </r>
  </si>
  <si>
    <t>Delete One Element to Maximize Array Product</t>
  </si>
  <si>
    <r>
      <rPr>
        <rFont val="Arial"/>
        <color rgb="FF1155CC"/>
        <u/>
      </rPr>
      <t>https://leetcode.com/problems/linked-list-cycle/</t>
    </r>
  </si>
  <si>
    <t>Balancing Elements</t>
  </si>
  <si>
    <t>Check Array Elements Consecutive (O(1) Space)</t>
  </si>
  <si>
    <r>
      <rPr>
        <rFont val="Arial"/>
        <color rgb="FF1155CC"/>
        <u/>
      </rPr>
      <t>https://www.geeksforgeeks.org/check-array-elements-consecutive-time-o1-space-handles-positive-negative-numbers/</t>
    </r>
  </si>
  <si>
    <t>Maximum Difference (Connected Components)</t>
  </si>
  <si>
    <t>Paint the Ceiling</t>
  </si>
  <si>
    <t>Positive Negative (Max Profit Subtracting K Losses)</t>
  </si>
  <si>
    <t>Tower of Hanoi</t>
  </si>
  <si>
    <r>
      <rPr>
        <rFont val="Arial"/>
        <color rgb="FF1155CC"/>
        <u/>
      </rPr>
      <t>https://www.geeksforgeeks.org/c-program-for-tower-of-hanoi/</t>
    </r>
  </si>
  <si>
    <t>First Missing Positive</t>
  </si>
  <si>
    <t>Anagram Check (variation)</t>
  </si>
  <si>
    <r>
      <rPr>
        <rFont val="Arial"/>
        <color rgb="FF1155CC"/>
        <u/>
      </rPr>
      <t>https://leetcode.com/problems/first-missing-positive/</t>
    </r>
  </si>
  <si>
    <r>
      <rPr>
        <rFont val="Arial"/>
        <color rgb="FF1155CC"/>
        <u/>
      </rPr>
      <t>https://practice.geeksforgeeks.org/problems/anagram-1587115620/1</t>
    </r>
  </si>
  <si>
    <t>Count 1s in a Sorted Binary Array</t>
  </si>
  <si>
    <r>
      <rPr>
        <rFont val="Arial"/>
        <color rgb="FF1155CC"/>
        <u/>
      </rPr>
      <t>https://www.geeksforgeeks.org/count-1s-sorted-binary-array/</t>
    </r>
  </si>
  <si>
    <t>Check if a Given String is a Palindrome</t>
  </si>
  <si>
    <r>
      <rPr>
        <rFont val="Arial"/>
        <color rgb="FF1155CC"/>
        <u/>
      </rPr>
      <t>https://www.geeksforgeeks.org/c-program-check-given-string-palindrome/</t>
    </r>
  </si>
  <si>
    <t>Chemical Mixture Combinatorics</t>
  </si>
  <si>
    <t>Check if Linked List is Circular</t>
  </si>
  <si>
    <t>Activity Selection Problem (variation)</t>
  </si>
  <si>
    <r>
      <rPr>
        <rFont val="Arial"/>
        <color rgb="FF1155CC"/>
        <u/>
      </rPr>
      <t>https://www.geeksforgeeks.org/check-linked-list-circular-linked-list/</t>
    </r>
  </si>
  <si>
    <r>
      <rPr>
        <rFont val="Arial"/>
        <color rgb="FF1155CC"/>
        <u/>
      </rPr>
      <t>https://practice.geeksforgeeks.org/problems/activity-selection-1587115620/1</t>
    </r>
  </si>
  <si>
    <r>
      <rPr>
        <rFont val="Arial"/>
        <color rgb="FF1155CC"/>
        <u/>
      </rPr>
      <t>https://leetcode.com/problems/two-sum/</t>
    </r>
  </si>
  <si>
    <t>Minimum Fuel Cost (Car Positioning)</t>
  </si>
  <si>
    <t>Sort an Array of 0s, 1s and 2s</t>
  </si>
  <si>
    <t>Product Dependency Tree Triplets</t>
  </si>
  <si>
    <r>
      <rPr>
        <rFont val="Arial"/>
        <color rgb="FF1155CC"/>
        <u/>
      </rPr>
      <t>https://practice.geeksforgeeks.org/problems/sort-an-array-of-0s-1s-and-2s4231/1</t>
    </r>
  </si>
  <si>
    <t>Portfolio Backtesting (Max Profit Subtracting K Losses)</t>
  </si>
  <si>
    <t>Fibonacci Series (Iterative &amp; Recursive)</t>
  </si>
  <si>
    <t>Find Swap Values of Two Arrays (Equal Sum)</t>
  </si>
  <si>
    <r>
      <rPr>
        <rFont val="Arial"/>
        <color rgb="FF1155CC"/>
        <u/>
      </rPr>
      <t>https://www.geeksforgeeks.org/find-swap-values-two-arrays/</t>
    </r>
  </si>
  <si>
    <r>
      <rPr>
        <rFont val="Arial"/>
        <color rgb="FF1155CC"/>
        <u/>
      </rPr>
      <t>https://leetcode.com/problems/fibonacci-number/</t>
    </r>
  </si>
  <si>
    <t>Word Break - I</t>
  </si>
  <si>
    <t>Car Parking Maximum Amount Collected</t>
  </si>
  <si>
    <r>
      <rPr>
        <rFont val="Arial"/>
        <color rgb="FF1155CC"/>
        <u/>
      </rPr>
      <t>https://practice.geeksforgeeks.org/problems/word-break1352/1</t>
    </r>
  </si>
  <si>
    <t>Gray Code</t>
  </si>
  <si>
    <r>
      <rPr>
        <rFont val="Arial"/>
        <color rgb="FF1155CC"/>
        <u/>
      </rPr>
      <t>https://leetcode.com/problems/non-overlapping-intervals/</t>
    </r>
  </si>
  <si>
    <t>Delete Node in a Linked List</t>
  </si>
  <si>
    <r>
      <rPr>
        <rFont val="Arial"/>
        <color rgb="FF1155CC"/>
        <u/>
      </rPr>
      <t>https://leetcode.com/problems/delete-node-in-a-linked-list/</t>
    </r>
  </si>
  <si>
    <r>
      <rPr>
        <rFont val="Arial"/>
        <color rgb="FF1155CC"/>
        <u/>
      </rPr>
      <t>https://leetcode.com/problems/gray-code/</t>
    </r>
  </si>
  <si>
    <t>Builders Allocation for Maximum Profit</t>
  </si>
  <si>
    <t>Music Concert Minimum Speakers Coverage</t>
  </si>
  <si>
    <t>Employee Bonus Ways (A/L/P String DP)</t>
  </si>
  <si>
    <t>Word Break - II</t>
  </si>
  <si>
    <t>Rat and Cheese Problem (Backtracking)</t>
  </si>
  <si>
    <t>Find the Second Largest Element in an Array</t>
  </si>
  <si>
    <t>Implement Queue using Stack</t>
  </si>
  <si>
    <r>
      <rPr>
        <rFont val="Arial"/>
        <color rgb="FF1155CC"/>
        <u/>
      </rPr>
      <t>https://www.geeksforgeeks.org/find-second-largest-element-array/</t>
    </r>
  </si>
  <si>
    <r>
      <rPr>
        <rFont val="Arial"/>
        <color rgb="FF1155CC"/>
        <u/>
      </rPr>
      <t>https://practice.geeksforgeeks.org/problems/word-break-part-23249/1</t>
    </r>
  </si>
  <si>
    <r>
      <rPr>
        <rFont val="Arial"/>
        <color rgb="FF1155CC"/>
        <u/>
      </rPr>
      <t>https://www.geeksforgeeks.org/implement-queue-using-two-stacks/</t>
    </r>
  </si>
  <si>
    <t>Count Nodes in a Singly Linked List</t>
  </si>
  <si>
    <t>Detect Loop in a Linked List (Full Code)</t>
  </si>
  <si>
    <r>
      <rPr>
        <rFont val="Arial"/>
        <color rgb="FF1155CC"/>
        <u/>
      </rPr>
      <t>https://leetcode.com/problems/linked-list-cycle/</t>
    </r>
  </si>
  <si>
    <t>Next Permutation (Next Greater Number, Same Digits)</t>
  </si>
  <si>
    <t>Program for Sum of Digits of a Number</t>
  </si>
  <si>
    <r>
      <rPr>
        <rFont val="Arial"/>
        <color rgb="FF1155CC"/>
        <u/>
      </rPr>
      <t>https://leetcode.com/problems/next-permutation/</t>
    </r>
  </si>
  <si>
    <r>
      <rPr>
        <rFont val="Arial"/>
        <color rgb="FF1155CC"/>
        <u/>
      </rPr>
      <t>https://www.geeksforgeeks.org/program-for-sum-of-digits-of-a-given-number/</t>
    </r>
  </si>
  <si>
    <t>Phone Digits Word Matching (variation)</t>
  </si>
  <si>
    <t>Non-Decreasing Weights Array to Maximize Profit</t>
  </si>
  <si>
    <t>Puzzle: 3 Bulbs and 3 Switches</t>
  </si>
  <si>
    <t>Triplets with Even Product</t>
  </si>
  <si>
    <r>
      <rPr>
        <rFont val="Arial"/>
        <color rgb="FF1155CC"/>
        <u/>
      </rPr>
      <t>https://www.geeksforgeeks.org/puzzle-7-3-bulbs-and-3-switches/</t>
    </r>
  </si>
  <si>
    <t>Check if Array is a Rotated Sorted Array</t>
  </si>
  <si>
    <t>Minimum Cages for Predator Array</t>
  </si>
  <si>
    <t>Minimum Window Substring</t>
  </si>
  <si>
    <r>
      <rPr>
        <rFont val="Arial"/>
        <color rgb="FF1155CC"/>
        <u/>
      </rPr>
      <t>https://www.geeksforgeeks.org/check-if-array-is-sorted-and-rotated/</t>
    </r>
  </si>
  <si>
    <t>Remove Duplicates from Sorted Array</t>
  </si>
  <si>
    <r>
      <rPr>
        <rFont val="Arial"/>
        <color rgb="FF1155CC"/>
        <u/>
      </rPr>
      <t>https://leetcode.com/problems/minimum-window-substring/</t>
    </r>
  </si>
  <si>
    <r>
      <rPr>
        <rFont val="Arial"/>
        <color rgb="FF1155CC"/>
        <u/>
      </rPr>
      <t>https://leetcode.com/problems/remove-duplicates-from-sorted-array/</t>
    </r>
  </si>
  <si>
    <t>Search in a Sorted Spiral 2D Matrix (Binary Search)</t>
  </si>
  <si>
    <t>Developer Team Formation</t>
  </si>
  <si>
    <t>Intersection of Two Arrays</t>
  </si>
  <si>
    <t>Largest Subset of Overlapping Events</t>
  </si>
  <si>
    <t>Single Number (XOR Approach)</t>
  </si>
  <si>
    <r>
      <rPr>
        <rFont val="Arial"/>
        <color rgb="FF1155CC"/>
        <u/>
      </rPr>
      <t>https://leetcode.com/problems/intersection-of-two-arrays/</t>
    </r>
  </si>
  <si>
    <t>Minimum Node Types in a Graph</t>
  </si>
  <si>
    <r>
      <rPr>
        <rFont val="Arial"/>
        <color rgb="FF1155CC"/>
        <u/>
      </rPr>
      <t>https://leetcode.com/problems/single-number/</t>
    </r>
  </si>
  <si>
    <t>Server State Flipping (Range Operations)</t>
  </si>
  <si>
    <t>BFS Traversal</t>
  </si>
  <si>
    <t>Dijkstra's Shortest Path Algorithm</t>
  </si>
  <si>
    <t>Delete a Node in a Linked List</t>
  </si>
  <si>
    <t>Remove K Elements to Maximize XOR</t>
  </si>
  <si>
    <t>GCD of an Array</t>
  </si>
  <si>
    <t>Optimal Team Selection</t>
  </si>
  <si>
    <t>Triplets with Sum Less Than or Equal to K</t>
  </si>
  <si>
    <r>
      <rPr>
        <rFont val="Arial"/>
        <color rgb="FF1155CC"/>
        <u/>
      </rPr>
      <t>https://www.geeksforgeeks.org/gcd-of-more-than-two-or-array-numbers/</t>
    </r>
  </si>
  <si>
    <t>Maximum Redundancy of Servers</t>
  </si>
  <si>
    <r>
      <rPr>
        <rFont val="Arial"/>
        <color rgb="FF1155CC"/>
        <u/>
      </rPr>
      <t>https://leetcode.com/problems/3sum-smaller/</t>
    </r>
  </si>
  <si>
    <t>Largest High-Priority Subset of Events</t>
  </si>
  <si>
    <t>Stack/Queue Basic Operations (Push/Pop)</t>
  </si>
  <si>
    <t>Investment Contribution Split (Fair Share Array)</t>
  </si>
  <si>
    <t>Reading Books for Maximum Intelligence (Knapsack variant)</t>
  </si>
  <si>
    <t>Word Search (Backtracking)</t>
  </si>
  <si>
    <r>
      <rPr>
        <rFont val="Arial"/>
        <color rgb="FF1155CC"/>
        <u/>
      </rPr>
      <t>https://leetcode.com/problems/word-search/</t>
    </r>
  </si>
  <si>
    <r>
      <rPr>
        <rFont val="Arial"/>
        <color rgb="FF1155CC"/>
        <u/>
      </rPr>
      <t>https://www.geeksforgeeks.org/find-second-largest-element-array/</t>
    </r>
  </si>
  <si>
    <t>Chocolate-Wrapper Exchange Puzzle (Pseudocode)</t>
  </si>
  <si>
    <t>Gray Code Successive Position Check</t>
  </si>
  <si>
    <r>
      <rPr>
        <rFont val="Arial"/>
        <color rgb="FF1155CC"/>
        <u/>
      </rPr>
      <t>https://leetcode.com/problems/gray-code/</t>
    </r>
  </si>
  <si>
    <t>Binary Tree Construction (Medium)</t>
  </si>
  <si>
    <t>Get Maximum Memory Difference (Greedy, K-subset)</t>
  </si>
  <si>
    <t>Print the Trapezium Pattern</t>
  </si>
  <si>
    <t>Minimal String (Two-Stack Pre/Post)</t>
  </si>
  <si>
    <r>
      <rPr>
        <rFont val="Arial"/>
        <color rgb="FF1155CC"/>
        <u/>
      </rPr>
      <t>https://www.geeksforgeeks.org/print-trapezium-pattern/</t>
    </r>
  </si>
  <si>
    <r>
      <rPr>
        <rFont val="Arial"/>
        <color rgb="FF1155CC"/>
        <u/>
      </rPr>
      <t>https://leetcode.com/problems/linked-list-cycle/</t>
    </r>
  </si>
  <si>
    <t>Maximizing the Redundancy</t>
  </si>
  <si>
    <t>Server Clusters (GCD-based Union)</t>
  </si>
  <si>
    <t>Minimum Cost to Reach Point N (Jump Game with Cost)</t>
  </si>
  <si>
    <t>Puzzle: 10 Balls in 5 Lines</t>
  </si>
  <si>
    <t>Remove Duplicates from Sorted List</t>
  </si>
  <si>
    <t>Bill Split Among Friends (Disoriented Ratio)</t>
  </si>
  <si>
    <r>
      <rPr>
        <rFont val="Arial"/>
        <color rgb="FF1155CC"/>
        <u/>
      </rPr>
      <t>https://www.geeksforgeeks.org/puzzle-10-balls-in-5-lines/</t>
    </r>
  </si>
  <si>
    <r>
      <rPr>
        <rFont val="Arial"/>
        <color rgb="FF1155CC"/>
        <u/>
      </rPr>
      <t>https://leetcode.com/problems/remove-duplicates-from-sorted-list/</t>
    </r>
  </si>
  <si>
    <t>Extract Substring from a String (Sliding Window)</t>
  </si>
  <si>
    <r>
      <rPr>
        <rFont val="Arial"/>
        <color rgb="FF1155CC"/>
        <u/>
      </rPr>
      <t>https://leetcode.com/problems/reverse-string/</t>
    </r>
  </si>
  <si>
    <t>Remove Duplicates from Sorted List II</t>
  </si>
  <si>
    <t>Frequency Count Using Hash Map</t>
  </si>
  <si>
    <r>
      <rPr>
        <rFont val="Arial"/>
        <color rgb="FF1155CC"/>
        <u/>
      </rPr>
      <t>https://leetcode.com/problems/remove-duplicates-from-sorted-list-ii/</t>
    </r>
  </si>
  <si>
    <t>Count Non-Repeating Character in a String</t>
  </si>
  <si>
    <t>Remove Duplicate Elements from an Array</t>
  </si>
  <si>
    <t>Count Occurrence of a Digit-Group Number</t>
  </si>
  <si>
    <r>
      <rPr>
        <rFont val="Arial"/>
        <color rgb="FF1155CC"/>
        <u/>
      </rPr>
      <t>https://leetcode.com/problems/remove-duplicates-from-sorted-array/</t>
    </r>
  </si>
  <si>
    <t>House-Robbery Style Max Gain with Distance Constraint</t>
  </si>
  <si>
    <t>Reverse a Queue using Recursion</t>
  </si>
  <si>
    <t>Sqrt(x)</t>
  </si>
  <si>
    <r>
      <rPr>
        <rFont val="Arial"/>
        <color rgb="FF1155CC"/>
        <u/>
      </rPr>
      <t>https://www.geeksforgeeks.org/reversing-a-queue-using-recursion/</t>
    </r>
  </si>
  <si>
    <r>
      <rPr>
        <rFont val="Arial"/>
        <color rgb="FF1155CC"/>
        <u/>
      </rPr>
      <t>https://leetcode.com/problems/sqrtx/</t>
    </r>
  </si>
  <si>
    <t>Lift Direction Decision (Conditional Logic)</t>
  </si>
  <si>
    <t>Minimum Length Lexicographically Smaller Substring with K Ones</t>
  </si>
  <si>
    <t>Palindrome Check (String, User Input)</t>
  </si>
  <si>
    <t>Dijkstra's Algorithm (Explain Approach)</t>
  </si>
  <si>
    <r>
      <rPr>
        <rFont val="Arial"/>
        <color rgb="FF1155CC"/>
        <u/>
      </rPr>
      <t>https://leetcode.com/problems/valid-palindrome/</t>
    </r>
  </si>
  <si>
    <t>Peak Index in a Mountain Array</t>
  </si>
  <si>
    <r>
      <rPr>
        <rFont val="Arial"/>
        <color rgb="FF1155CC"/>
        <u/>
      </rPr>
      <t>https://leetcode.com/problems/peak-index-in-a-mountain-array/</t>
    </r>
  </si>
  <si>
    <t>Temperature Check (Switch-Case Ranges)</t>
  </si>
  <si>
    <t>Water Jug Problem (12L, 8L, 5L)</t>
  </si>
  <si>
    <t>Shortest Unique Substring</t>
  </si>
  <si>
    <t>Largest Square</t>
  </si>
  <si>
    <t>Phonebook Substring Search</t>
  </si>
  <si>
    <r>
      <rPr>
        <rFont val="Arial"/>
        <color rgb="FF1155CC"/>
        <u/>
      </rPr>
      <t>https://leetcode.com/problems/remove-duplicates-from-sorted-array/</t>
    </r>
  </si>
  <si>
    <t>Subset of Size K - Maximum Sum of Absolute Differences</t>
  </si>
  <si>
    <t>Minimum Number for a Given Digit Sum</t>
  </si>
  <si>
    <t>Using a Robot to Print the Lexicographically Smallest String</t>
  </si>
  <si>
    <t>Maximum Round Reached by Each Player (Tournament Simulation)</t>
  </si>
  <si>
    <r>
      <rPr>
        <rFont val="Arial"/>
        <color rgb="FF1155CC"/>
        <u/>
      </rPr>
      <t>https://leetcode.com/problems/using-a-robot-to-print-the-lexicographically-smallest-string/</t>
    </r>
  </si>
  <si>
    <r>
      <rPr>
        <rFont val="Arial"/>
        <color rgb="FF1155CC"/>
        <u/>
      </rPr>
      <t>https://leetcode.com/problems/valid-palindrome/</t>
    </r>
  </si>
  <si>
    <t>Array Conversion - Minimum Swaps via Rotations</t>
  </si>
  <si>
    <t>Array Reduction Using MEX</t>
  </si>
  <si>
    <t>Minimum Path Sum (DP Grid, Right/Down Movement)</t>
  </si>
  <si>
    <r>
      <rPr>
        <rFont val="Arial"/>
        <color rgb="FF1155CC"/>
        <u/>
      </rPr>
      <t>https://leetcode.com/problems/minimum-path-sum/</t>
    </r>
  </si>
  <si>
    <t>Water Dispenser - Minimum Seconds to Fill Cups</t>
  </si>
  <si>
    <t>Minimal Set of Students Covering All Library Books</t>
  </si>
  <si>
    <t>Binary Search to Find Buggy File Among Repositories</t>
  </si>
  <si>
    <t>Maximum Path Sum in Matrix (Diagonal Moves, No Repeat)</t>
  </si>
  <si>
    <r>
      <rPr>
        <rFont val="Arial"/>
        <color rgb="FF1155CC"/>
        <u/>
      </rPr>
      <t>https://leetcode.com/problems/asteroid-collision/</t>
    </r>
  </si>
  <si>
    <t>Winner by Longest Jump Across Rounds</t>
  </si>
  <si>
    <t>Find the First Element</t>
  </si>
  <si>
    <t>Text Justification</t>
  </si>
  <si>
    <r>
      <rPr>
        <rFont val="Arial"/>
        <color rgb="FF1155CC"/>
        <u/>
      </rPr>
      <t>https://leetcode.com/problems/text-justification/</t>
    </r>
  </si>
  <si>
    <t>Sum of Array Elements</t>
  </si>
  <si>
    <t>Maximum Path Sum in Matrix (First to Last Column)</t>
  </si>
  <si>
    <r>
      <rPr>
        <rFont val="Arial"/>
        <color rgb="FF1155CC"/>
        <u/>
      </rPr>
      <t>https://www.geeksforgeeks.org/maximum-path-sum-matrix/</t>
    </r>
  </si>
  <si>
    <t>Count Number of Nice Subarrays</t>
  </si>
  <si>
    <r>
      <rPr>
        <rFont val="Arial"/>
        <color rgb="FF1155CC"/>
        <u/>
      </rPr>
      <t>https://leetcode.com/problems/count-number-of-nice-subarrays/</t>
    </r>
  </si>
  <si>
    <t>Frequency of the Most Frequent Element</t>
  </si>
  <si>
    <r>
      <rPr>
        <rFont val="Arial"/>
        <color rgb="FF1155CC"/>
        <u/>
      </rPr>
      <t>https://leetcode.com/problems/frequency-of-the-most-frequent-element/</t>
    </r>
  </si>
  <si>
    <t>Anagram Output Prediction</t>
  </si>
  <si>
    <r>
      <rPr>
        <rFont val="Arial"/>
        <color rgb="FF1155CC"/>
        <u/>
      </rPr>
      <t>https://leetcode.com/problems/majority-element/</t>
    </r>
  </si>
  <si>
    <r>
      <rPr>
        <rFont val="Arial"/>
        <color rgb="FF1155CC"/>
        <u/>
      </rPr>
      <t>https://leetcode.com/problems/longest-substring-without-repeating-characters/</t>
    </r>
  </si>
  <si>
    <t>Valid Anagram (Anagrams using Java)</t>
  </si>
  <si>
    <r>
      <rPr>
        <rFont val="Arial"/>
        <color rgb="FF1155CC"/>
        <u/>
      </rPr>
      <t>https://leetcode.com/problems/valid-anagram/</t>
    </r>
  </si>
  <si>
    <t>Fill Missing Digits for Largest Perfect Square</t>
  </si>
  <si>
    <t>Sum of Largest Digit in Each Array Integer</t>
  </si>
  <si>
    <t>Largest Perfect Square with Blanks Filled</t>
  </si>
  <si>
    <t>String Rearrangement by Shifting Characters</t>
  </si>
  <si>
    <t>Reward Score for Customer IDs (Digit-Sum Product)</t>
  </si>
  <si>
    <t>Product of Digit Sums</t>
  </si>
  <si>
    <t>Group Anagrams</t>
  </si>
  <si>
    <r>
      <rPr>
        <rFont val="Arial"/>
        <color rgb="FF1155CC"/>
        <u/>
      </rPr>
      <t>https://leetcode.com/problems/group-anagrams/</t>
    </r>
  </si>
  <si>
    <t>Reverse Words in a String</t>
  </si>
  <si>
    <r>
      <rPr>
        <rFont val="Arial"/>
        <color rgb="FF1155CC"/>
        <u/>
      </rPr>
      <t>https://leetcode.com/problems/reverse-words-in-a-string/</t>
    </r>
  </si>
  <si>
    <t>Transform String by Custom Shifting</t>
  </si>
  <si>
    <t>Product of Digit Sums with Digital Root</t>
  </si>
  <si>
    <t>Implement Stack Using Array</t>
  </si>
  <si>
    <r>
      <rPr>
        <rFont val="Arial"/>
        <color rgb="FF1155CC"/>
        <u/>
      </rPr>
      <t>https://www.geeksforgeeks.org/stack-data-structure-introduction-program/</t>
    </r>
  </si>
  <si>
    <t>longest subarray with sum divisible by k</t>
  </si>
  <si>
    <t>https://www.geeksforgeeks.org/problems/longest-subarray-with-sum-divisible-by-k1259/1</t>
  </si>
  <si>
    <t>Remove K digits</t>
  </si>
  <si>
    <t>https://leetcode.com/problems/remove-k-digits/description/</t>
  </si>
  <si>
    <t>Given a number n, convert it to its binary representation and store each binary digit in a linked list</t>
  </si>
  <si>
    <t>Solution Video</t>
  </si>
  <si>
    <t>Count All-One Submatrices in a Binary Matrix</t>
  </si>
  <si>
    <t>Unique Paths in an M by N Grid</t>
  </si>
  <si>
    <t>Round 1: Programming</t>
  </si>
  <si>
    <t>Online Assessment</t>
  </si>
  <si>
    <t>Number of Islands</t>
  </si>
  <si>
    <t>Minimize Difference Between Product and Sum Over a Nonempty Subset</t>
  </si>
  <si>
    <t>Dynamic Mentor Assignment by Skill and Experience</t>
  </si>
  <si>
    <t>Backspace String Compare With and Without Extra Space</t>
  </si>
  <si>
    <t>Valid Sudoku</t>
  </si>
  <si>
    <t>Technical Interview 1</t>
  </si>
  <si>
    <t>Minimum Jumps to Reach Array End Using Adjacent and Equal-Value Moves</t>
  </si>
  <si>
    <t>Traveling Salesman Minimum Tour Cost</t>
  </si>
  <si>
    <t>Technical Interview 2</t>
  </si>
  <si>
    <t>Simulate a Fixed-Capacity Server Request Queue</t>
  </si>
  <si>
    <t>Explain Network-Layer Encryption Options</t>
  </si>
  <si>
    <t>Explain Linear Regression</t>
  </si>
  <si>
    <t>Technical Interview 3</t>
  </si>
  <si>
    <t>Explain Database Indexing, Pagination, and Lazy Loading</t>
  </si>
  <si>
    <t>Round 2: Technical Discussion</t>
  </si>
  <si>
    <t>Explain Mean Squared Error</t>
  </si>
  <si>
    <t>Explain JWT and Token-Based Authentication and Authorization</t>
  </si>
  <si>
    <t>Explain Gradient Descent</t>
  </si>
  <si>
    <t>Sort Array Elements by Their Number of Factors</t>
  </si>
  <si>
    <t>Find the Largest Two-Digit Substring in a Numeric String</t>
  </si>
  <si>
    <t>Coding Assessment</t>
  </si>
  <si>
    <t>Replace Message Words Not Present in a Dictionary</t>
  </si>
  <si>
    <t>Compare Artificial Intelligence, Machine Learning, and Deep Learning</t>
  </si>
  <si>
    <t>Construct the Latest Valid Date by Replacing Question Marks</t>
  </si>
  <si>
    <t>Validate Parentheses While Ignoring Other Characters</t>
  </si>
  <si>
    <t>Probability That the Sum of M N-Sided Dice Is Prime</t>
  </si>
  <si>
    <t>Explain Sessions and Cookies</t>
  </si>
  <si>
    <t>Normalize a Project Database Schema</t>
  </si>
  <si>
    <t>Technical Interview</t>
  </si>
  <si>
    <t>Compare Classification and Regression</t>
  </si>
  <si>
    <t>Round 1: Group Interview</t>
  </si>
  <si>
    <t>Explain the Four OOP Principles</t>
  </si>
  <si>
    <t>Handle Exceptions in Python</t>
  </si>
  <si>
    <t>Write a SQL Query Using GROUP BY, ORDER BY, and Top-N Filtering</t>
  </si>
  <si>
    <t>Explain First, Second, and Third Normal Forms</t>
  </si>
  <si>
    <t>Explain Overfitting and Underfitting and How to Reduce Them</t>
  </si>
  <si>
    <t>Explain ACID Properties</t>
  </si>
  <si>
    <t>Compare Supervised and Unsupervised Learning</t>
  </si>
  <si>
    <t>Explain How Database Transaction Isolation Is Achieved</t>
  </si>
  <si>
    <t>Find the Height of a Binary Search Tree</t>
  </si>
  <si>
    <t>Trace C Pointer Reassignment and Dynamic Allocation Output</t>
  </si>
  <si>
    <t>Round 3: Technical and Director</t>
  </si>
  <si>
    <t>Explain C Memory Layout and Pointer Storage</t>
  </si>
  <si>
    <t>Maximum Value Representable by char in C</t>
  </si>
  <si>
    <t>Explain What stdio.h Contains</t>
  </si>
  <si>
    <t>Explain Uses of Python Dictionaries</t>
  </si>
  <si>
    <t>Check Whether Two Strings Are Anagrams</t>
  </si>
  <si>
    <t>Check Whether One String Is a Palindromic Transformation of Another</t>
  </si>
  <si>
    <t>Find the First Missing Positive Number</t>
  </si>
  <si>
    <t>Online Test</t>
  </si>
  <si>
    <t>Implement a Queue Using an Array</t>
  </si>
  <si>
    <t>Sum Both Diagonals of an Odd-Sized Number Spiral</t>
  </si>
  <si>
    <t>Detect Three Consecutive Transactions Whose Sum Exceeds a Threshold</t>
  </si>
  <si>
    <t>Find the Second-Largest Price Without LIMIT or a Subquery</t>
  </si>
  <si>
    <t>Calculate Binary Tree Height While Ignoring Odd-Valued Nodes</t>
  </si>
  <si>
    <t>Encode an Integer in a Fixed Number of Extended Digits</t>
  </si>
  <si>
    <t>Flatten a Child-First Multilevel Linked List</t>
  </si>
  <si>
    <t>Explain SQL GROUP BY and Whether It Requires Aggregation</t>
  </si>
  <si>
    <t>Interview Round 1</t>
  </si>
  <si>
    <t>Maximum Sum BST in a Binary Tree</t>
  </si>
  <si>
    <t>Write a PL/SQL Stored Procedure for a Discounted Second-Largest Price</t>
  </si>
  <si>
    <t>Jump Game</t>
  </si>
  <si>
    <t>Compare Truthy and Falsy Values in JavaScript</t>
  </si>
  <si>
    <t>Interview Round 2</t>
  </si>
  <si>
    <t>Gas Station</t>
  </si>
  <si>
    <t>Explain the Four OOP Principles with Examples</t>
  </si>
  <si>
    <t>Find the Closest Pair Between Two Sorted Arrays</t>
  </si>
  <si>
    <t>Interview Round 3</t>
  </si>
  <si>
    <t>Compare a Java Interface and Abstract Class</t>
  </si>
  <si>
    <t>Find the Second Most Frequent Word with Lexicographic Tie-Breaking</t>
  </si>
  <si>
    <t>Compare Frontend and Backend Development</t>
  </si>
  <si>
    <t>Offline Coding Round</t>
  </si>
  <si>
    <t>Explain and Implement OOP Concepts in Java</t>
  </si>
  <si>
    <t>Technical Round 1</t>
  </si>
  <si>
    <t>Compare a DBMS and a Database</t>
  </si>
  <si>
    <t>Generate Fibonacci Numbers</t>
  </si>
  <si>
    <t>Explain the Java Servlet Lifecycle</t>
  </si>
  <si>
    <t>Compare HTTP, FTP, and SFTP</t>
  </si>
  <si>
    <t>Explain How SMTP Works</t>
  </si>
  <si>
    <t>Technical Round 2</t>
  </si>
  <si>
    <t>Compare TCP and UDP</t>
  </si>
  <si>
    <t>Compare 32-Bit and 64-Bit Processors</t>
  </si>
  <si>
    <t>Compare RISC and CISC Architectures</t>
  </si>
  <si>
    <t>Compare the OSI and TCP/IP Models and Explain Message Transmission</t>
  </si>
  <si>
    <t>Explain Virtual Memory and Its Purpose</t>
  </si>
  <si>
    <t>Compare Big-Endian and Little-Endian Systems</t>
  </si>
  <si>
    <t>Explain Why Java Is Platform Independent</t>
  </si>
  <si>
    <t>Compare Paging and Segmentation</t>
  </si>
  <si>
    <t>Compare Processes and Threads</t>
  </si>
  <si>
    <t>Smallest Negative Balance</t>
  </si>
  <si>
    <t>Sort Roman Numerals</t>
  </si>
  <si>
    <t>Explain Deadlock Prevention Techniques</t>
  </si>
  <si>
    <t>Compare Parallelism and Concurrency</t>
  </si>
  <si>
    <t>Check String Divisibility</t>
  </si>
  <si>
    <t>Explain CPU Scheduling Algorithms</t>
  </si>
  <si>
    <t>Explain Paging</t>
  </si>
  <si>
    <t>Technical Interview I</t>
  </si>
  <si>
    <t>Sum Matrix Regions Divided by Both Diagonals</t>
  </si>
  <si>
    <t>Explain Process Memory Layout and Sharing Code Between Processes</t>
  </si>
  <si>
    <t>Convert Infix to Postfix and Evaluate the Expression</t>
  </si>
  <si>
    <t>Explain Context Switching</t>
  </si>
  <si>
    <t>Technical Interview II</t>
  </si>
  <si>
    <t>Schedule Dependent Processes Across Multiple CPU Cores</t>
  </si>
  <si>
    <t>Compute the Average of Two Integers Without Overflow</t>
  </si>
  <si>
    <t>Explain URL Components and DNS Resolution</t>
  </si>
  <si>
    <t>Design an Application That Executes an Input Script</t>
  </si>
  <si>
    <t>Managerial Interview</t>
  </si>
  <si>
    <t>Distribute API Requests to the Least-Loaded Server</t>
  </si>
  <si>
    <t>Minimize Endpoint Product of a Subsequence of Size M</t>
  </si>
  <si>
    <t>Explain the OSI Model</t>
  </si>
  <si>
    <t>Compare ACID and BASE Properties</t>
  </si>
  <si>
    <t>Compare Shared and Exclusive Database Locks</t>
  </si>
  <si>
    <t>Explain Database Sharding and Vertical Scaling</t>
  </si>
  <si>
    <t>Explain Data Warehousing</t>
  </si>
  <si>
    <t>Design Concurrent and Scalable Railway Ticket Booking</t>
  </si>
  <si>
    <t>Compare Git and GitHub and Explain the Git Workflow</t>
  </si>
  <si>
    <t>Swap 0 and 5 Without Conditional Statements</t>
  </si>
  <si>
    <t>Compare Git Merge and Git Rebase</t>
  </si>
  <si>
    <t>Round 2</t>
  </si>
  <si>
    <t>Explain CI/CD Pipelines, Jenkins, and Ansible</t>
  </si>
  <si>
    <t>Find the Heavier Ball Using a Balance Scale</t>
  </si>
  <si>
    <t>Design a BookMyShow-Like Ticket Booking System</t>
  </si>
  <si>
    <t>Generate All Permutations of a String</t>
  </si>
  <si>
    <t>Handle Payment Failure and Booking Consistency</t>
  </si>
  <si>
    <t>Minimum Knight Moves to Reach a Target</t>
  </si>
  <si>
    <t>Diagnose Decreased Accuracy After Retraining a Model</t>
  </si>
  <si>
    <t>Round 3</t>
  </si>
  <si>
    <t>Write a SQL JOIN Query</t>
  </si>
  <si>
    <t>Explain LIME and SHAP Model Explainability</t>
  </si>
  <si>
    <t>Explain React Components, Hooks, State, and Virtual DOM</t>
  </si>
  <si>
    <t>Remove Duplicates from a Linked List</t>
  </si>
  <si>
    <t>Round 2: Technical</t>
  </si>
  <si>
    <t>Explain Promises and async/await</t>
  </si>
  <si>
    <t>Explain Node.js Event-Driven Architecture and Express Middleware</t>
  </si>
  <si>
    <t>Explain MongoDB Document Data Modeling</t>
  </si>
  <si>
    <t>Explain REST API Design, Methods, Parameters, Status Codes, and Statelessness</t>
  </si>
  <si>
    <t>Explain OOP Principles with Real-World Examples</t>
  </si>
  <si>
    <t>Find the Most Frequent Vowel in a String</t>
  </si>
  <si>
    <t>Final Technical Round</t>
  </si>
  <si>
    <t>Longest Even-Length Substring with Equal Half Sums</t>
  </si>
  <si>
    <t>Explain Database Locks with Real-World Examples</t>
  </si>
  <si>
    <t>Analyze Quick Sort Time Complexity</t>
  </si>
  <si>
    <t>Explain DAO and MVC Architecture Patterns</t>
  </si>
  <si>
    <t>Compare C++ and Java</t>
  </si>
  <si>
    <t>Technical Round</t>
  </si>
  <si>
    <t>Write SQL Using JOINs and UNIQUE Constraints</t>
  </si>
  <si>
    <t>Explain the C++ Standard Template Library</t>
  </si>
  <si>
    <t>Extract All Substrings with Non-Repeating Characters</t>
  </si>
  <si>
    <t>Minimum Time to Process People Across Multiple Counters</t>
  </si>
  <si>
    <t>Count Elements Already in Their Sorted Positions</t>
  </si>
  <si>
    <t>Restore All Valid IP Addresses from a Digit String</t>
  </si>
  <si>
    <t>Design a Movie Ticket Booking Database and Revenue Queries</t>
  </si>
  <si>
    <t>Compare Python Tuples and Lists</t>
  </si>
  <si>
    <t>Find Customers Who Have Not Placed an Order</t>
  </si>
  <si>
    <t>Explain Java Garbage Collection</t>
  </si>
  <si>
    <t>Explain Java Wrapper Classes</t>
  </si>
  <si>
    <t>Explain OOP Concepts</t>
  </si>
  <si>
    <t>Find Duplicate Rows Using ROW_NUMBER</t>
  </si>
  <si>
    <t>Compare Encapsulation and Abstraction</t>
  </si>
  <si>
    <t>Compare Pass by Value and Pass by Reference</t>
  </si>
  <si>
    <t>Find the Missing Number from 1 to N</t>
  </si>
  <si>
    <t>Can an Abstract Class Be Instantiated?</t>
  </si>
  <si>
    <t>Remove the Nth Node from the End of a Linked List</t>
  </si>
  <si>
    <t>Compare Method Overloading and Overriding</t>
  </si>
  <si>
    <t>Explain the Singleton Class Pattern</t>
  </si>
  <si>
    <t>Explain What Happens When a URL Is Entered in a Browser</t>
  </si>
  <si>
    <t>Explain the Software Development Life Cycle</t>
  </si>
  <si>
    <t>Compare HTTP and HTTPS</t>
  </si>
  <si>
    <t>Explain GET vs POST and Query vs Path Parameters</t>
  </si>
  <si>
    <t>Compare SaaS, PaaS, and IaaS</t>
  </si>
  <si>
    <t>Explain the Docker Container Lifecycle</t>
  </si>
  <si>
    <t>Optimize a Movie Booking Database Using Normalization, Denormalization, and Indexes</t>
  </si>
  <si>
    <t>Explain React Hooks, Promises, the Event Loop, and Virtual DOM</t>
  </si>
  <si>
    <t>Explain Database Keys, Functional Dependencies, Normalization, Joins, and Indexing</t>
  </si>
  <si>
    <t>Make All Array Elements Equal</t>
  </si>
  <si>
    <t>Explain C++ OOP, Inheritance, Diamond Problem, and Access Specifiers</t>
  </si>
  <si>
    <t>Online Coding Round</t>
  </si>
  <si>
    <t>Explain Basic Git Workflow and Rebase</t>
  </si>
  <si>
    <t>Compare Vertical and Horizontal Scaling</t>
  </si>
  <si>
    <t>Explain C++ Namespaces</t>
  </si>
  <si>
    <t>Maximum Identifier Length in C</t>
  </si>
  <si>
    <t>Compare Abstract Classes and Interfaces</t>
  </si>
  <si>
    <t>Explain Access Modifiers</t>
  </si>
  <si>
    <t>Print All Prime Numbers Up to N</t>
  </si>
  <si>
    <t>Compute a Factorial</t>
  </si>
  <si>
    <t>Explain a PN Junction Diode</t>
  </si>
  <si>
    <t>https://www.geeksforgeeks.org/problems/subarrays-with-sum-k/1</t>
  </si>
  <si>
    <t>Search Insert Position in a Sorted Array</t>
  </si>
  <si>
    <t>https://leetcode.com/problems/search-insert-position/</t>
  </si>
  <si>
    <t>Compare P-Type and N-Type Semiconductors</t>
  </si>
  <si>
    <t>none</t>
  </si>
  <si>
    <t>Binary Search</t>
  </si>
  <si>
    <t>Morgan Stanley</t>
  </si>
  <si>
    <t>Top K Frequent Numbers (Tie-Break by First Occurrence)</t>
  </si>
  <si>
    <t>https://leetcode.com/problems/top-k-frequent-elements/</t>
  </si>
  <si>
    <t>Explain Semiconductor Fundamentals</t>
  </si>
  <si>
    <t>https://leetcode.com/problems/insert-into-a-binary-search-tree/</t>
  </si>
  <si>
    <t>Heap / Hashing</t>
  </si>
  <si>
    <t>Maximum Difference with Larger Element After Smaller</t>
  </si>
  <si>
    <t>https://leetcode.com/problems/maximum-gap/</t>
  </si>
  <si>
    <t>Explain MOSFET Basics and Symbols</t>
  </si>
  <si>
    <t>Array</t>
  </si>
  <si>
    <t>Knapsack Variation</t>
  </si>
  <si>
    <t>Dynamic Programming</t>
  </si>
  <si>
    <t>https://leetcode.com/problems/remove-duplicates-from-sorted-list-ii/</t>
  </si>
  <si>
    <t>Graph Question (Unspecified)</t>
  </si>
  <si>
    <t>Compare N-Channel and P-Channel MOSFETs</t>
  </si>
  <si>
    <t>Graph</t>
  </si>
  <si>
    <t>Coin Change</t>
  </si>
  <si>
    <t>https://leetcode.com/problems/coin-change/</t>
  </si>
  <si>
    <t>Compare Deep Copy and Shallow Copy</t>
  </si>
  <si>
    <t>Managerial and Technical Interview</t>
  </si>
  <si>
    <t>Explain Near, Far, and Huge Pointers</t>
  </si>
  <si>
    <t>Staircase-Style Promotion Problem (Skip or Move Next)</t>
  </si>
  <si>
    <t>https://www.geeksforgeeks.org/count-ways-reach-nth-stair/</t>
  </si>
  <si>
    <t>https://www.geeksforgeeks.org/dsa/sieve-of-eratosthenes/</t>
  </si>
  <si>
    <t>Minimum Chairs/Platforms for Overlapping Login-Logout Intervals</t>
  </si>
  <si>
    <t>https://www.geeksforgeeks.org/minimum-number-platforms-required-railwaybus-station/</t>
  </si>
  <si>
    <t>https://leetcode.com/problems/restore-ip-addresses/</t>
  </si>
  <si>
    <t>Greedy / Sorting / Intervals</t>
  </si>
  <si>
    <t>Can an Inline Function Be Recursive?</t>
  </si>
  <si>
    <t>Sort Train Tickets by a Chosen Parameter</t>
  </si>
  <si>
    <t>Sorting</t>
  </si>
  <si>
    <t>Generalized Tic-Tac-Toe Win-Check (N x N Board Min Function Calls)</t>
  </si>
  <si>
    <t>Simulation / Math</t>
  </si>
  <si>
    <t>Compare C and C++</t>
  </si>
  <si>
    <t>Check Whether a String Is a Palindrome</t>
  </si>
  <si>
    <t>String</t>
  </si>
  <si>
    <t>Explain Tokens in C++</t>
  </si>
  <si>
    <t>Sum of Elements at Alternate Indexes</t>
  </si>
  <si>
    <t>Explain the Diamond Inheritance Problem</t>
  </si>
  <si>
    <t>NatWest</t>
  </si>
  <si>
    <t>Vehicle Track Number (Smallest Digit Permutation No Leading Zero)</t>
  </si>
  <si>
    <t>Greedy / Sorting</t>
  </si>
  <si>
    <t>Print Characters Appearing Only Once in a String (No Built-in Collections)</t>
  </si>
  <si>
    <t>Explain Ohm's Law</t>
  </si>
  <si>
    <t>Array / Frequency Counting</t>
  </si>
  <si>
    <t>Filter Array Elements Within a Range (Preserve Order)</t>
  </si>
  <si>
    <t>Smallest N-Digit Number Formed from Given Digits</t>
  </si>
  <si>
    <t>Sort Array Ascending then Return Odd-Indexed Elements</t>
  </si>
  <si>
    <t>Maximum Perfect Square Within a Given Range</t>
  </si>
  <si>
    <t>Math / Binary Search</t>
  </si>
  <si>
    <t>Group Even Numbers First and Odd Numbers Next</t>
  </si>
  <si>
    <t>Array / Two Pointer</t>
  </si>
  <si>
    <t>Explain Pentavalent and Trivalent Semiconductor Impurities</t>
  </si>
  <si>
    <t>Print Character and Its Frequency Sequentially</t>
  </si>
  <si>
    <t>Hashing</t>
  </si>
  <si>
    <t>Count of Consonants in a String</t>
  </si>
  <si>
    <t>Return a String with No Vowels</t>
  </si>
  <si>
    <t>Explain How a Multimeter Measures Voltage and Current</t>
  </si>
  <si>
    <t>Retrieve Unique Strings Not All Lowercase (Order Preserved)</t>
  </si>
  <si>
    <t>Hashing / LinkedHashSet</t>
  </si>
  <si>
    <t>Sort Array of Elements Based on Frequency</t>
  </si>
  <si>
    <t>Hashing / Sorting</t>
  </si>
  <si>
    <t>Find Number of Non-Repeating Characters in a String</t>
  </si>
  <si>
    <t>Explain a DC Power Supply</t>
  </si>
  <si>
    <t>Sort Ascending Till K Then Descending After K and Merge</t>
  </si>
  <si>
    <t>Simple HashSet-Based Array Question (Store Index vs Element)</t>
  </si>
  <si>
    <t>Compare Forward and Reverse Bias</t>
  </si>
  <si>
    <t>Explain Current, Voltage, and Power</t>
  </si>
  <si>
    <t>Missing Coordinate of a Square (XOR Property)</t>
  </si>
  <si>
    <t>Bit Manipulation (XOR)</t>
  </si>
  <si>
    <t>NCR Voyix</t>
  </si>
  <si>
    <t>Closest Pair of Points (Minimum Squared Distance)</t>
  </si>
  <si>
    <t>https://www.geeksforgeeks.org/dsa/closest-pair-of-points-using-divide-and-conquer-algorithm/</t>
  </si>
  <si>
    <t>Divide and Conquer</t>
  </si>
  <si>
    <t>Server Assignment Problem (Lowest-Numbered Available Server)</t>
  </si>
  <si>
    <t>Priority Queue / Simulation</t>
  </si>
  <si>
    <t>Missing Vertex Among N Axis-Parallel Rectangles</t>
  </si>
  <si>
    <t>https://www.geeksforgeeks.org/dsa/missing-vertex-among-n-axis-parallel-rectangles/</t>
  </si>
  <si>
    <t>Count Zero Request Servers</t>
  </si>
  <si>
    <t>Reverse a Linked List</t>
  </si>
  <si>
    <t>https://leetcode.com/problems/count-zero-request-servers/</t>
  </si>
  <si>
    <t>Check Whether a Binary String Represents a Power of Two</t>
  </si>
  <si>
    <t>https://leetcode.com/problems/reverse-linked-list/</t>
  </si>
  <si>
    <t>Bit Manipulation</t>
  </si>
  <si>
    <t>NVIDIA</t>
  </si>
  <si>
    <t>Special Binary String</t>
  </si>
  <si>
    <t>https://leetcode.com/problems/special-binary-string/</t>
  </si>
  <si>
    <t>Simulation / Array</t>
  </si>
  <si>
    <t>Round Robin Load Balancer</t>
  </si>
  <si>
    <t>Simulation / Queue</t>
  </si>
  <si>
    <t>Product of Array Except Self</t>
  </si>
  <si>
    <t>https://leetcode.com/problems/product-of-array-except-self/</t>
  </si>
  <si>
    <t>Nokia</t>
  </si>
  <si>
    <t>Implement Binary Search Tree (Insert and Delete with Two-Children Case)</t>
  </si>
  <si>
    <t>Recursion / Backtracking</t>
  </si>
  <si>
    <t>https://leetcode.com/problems/delete-node-in-a-bst/</t>
  </si>
  <si>
    <t>Reverse Nodes in K-Group</t>
  </si>
  <si>
    <t>https://leetcode.com/problems/reverse-nodes-in-k-group/</t>
  </si>
  <si>
    <t>Prefix / Suffix Product</t>
  </si>
  <si>
    <t>Binary Search Tree</t>
  </si>
  <si>
    <t>Find the second largest element in an array (code in Java)</t>
  </si>
  <si>
    <t>Arrays</t>
  </si>
  <si>
    <t>Optum</t>
  </si>
  <si>
    <t>Weighted Scheduling (weighted interval/activity scheduling)</t>
  </si>
  <si>
    <t>Find Special Nodes in Tree (nodes at end of tree diameter)</t>
  </si>
  <si>
    <t>DP / Greedy</t>
  </si>
  <si>
    <t>Q2 Software</t>
  </si>
  <si>
    <t>Tree / Graph</t>
  </si>
  <si>
    <t>Oracle (OFSS)</t>
  </si>
  <si>
    <t>First and Last Digit — count numbers in [L,R] with same first &amp; last digit</t>
  </si>
  <si>
    <t>Sliding Window / Arrays</t>
  </si>
  <si>
    <t>Math</t>
  </si>
  <si>
    <t>Binary tree traversal</t>
  </si>
  <si>
    <t>Design a data model for a dynamic 26-ary class hierarchy (DAG, no diamond problem) with fast retrieval, prefix search, dynamic updates — implement in Python</t>
  </si>
  <si>
    <t>Technical Assessment Round</t>
  </si>
  <si>
    <t>Binary Tree</t>
  </si>
  <si>
    <t>System Design / Trie / Graph</t>
  </si>
  <si>
    <t>Comparison of different sorting algorithms; time/space complexity</t>
  </si>
  <si>
    <t>1 DSA problem (unspecified)</t>
  </si>
  <si>
    <t>Merge sort on a linked list</t>
  </si>
  <si>
    <t>General</t>
  </si>
  <si>
    <t>Oracle GBU</t>
  </si>
  <si>
    <t>https://leetcode.com/problems/sort-list/</t>
  </si>
  <si>
    <t>Remove array duplicates</t>
  </si>
  <si>
    <t>What is a heap? Explain max-heap and min-heap structure</t>
  </si>
  <si>
    <t>https://leetcode.com/problems/remove-duplicates-from-sorted-array/</t>
  </si>
  <si>
    <t>Heap</t>
  </si>
  <si>
    <t>Real-world applications of heaps</t>
  </si>
  <si>
    <t>Name other sorting algorithms; time complexities of heap/merge/bubble sort</t>
  </si>
  <si>
    <t>Explain heapify algorithm and its time complexity</t>
  </si>
  <si>
    <t>Linked List / Sorting</t>
  </si>
  <si>
    <t>Write code to pair overlapping intervals into tuples</t>
  </si>
  <si>
    <t>https://leetcode.com/problems/merge-intervals/</t>
  </si>
  <si>
    <t>Check if a string's characters can form a palindrome; code and dry run</t>
  </si>
  <si>
    <t>https://leetcode.com/problems/valid-palindrome/</t>
  </si>
  <si>
    <t>Quantiphi Analytics</t>
  </si>
  <si>
    <t>Count digits in a number (with time complexity)</t>
  </si>
  <si>
    <t>Find nth node from end of linked list; remove duplicates in a list</t>
  </si>
  <si>
    <t>Manager Round</t>
  </si>
  <si>
    <t>Intervals</t>
  </si>
  <si>
    <t>General (mentioned as common)</t>
  </si>
  <si>
    <t>Check if a binary tree is a mirror of a given binary tree</t>
  </si>
  <si>
    <t>https://leetcode.com/problems/symmetric-tree/</t>
  </si>
  <si>
    <t>String / Hashing</t>
  </si>
  <si>
    <t>Explain Graphs — nodes, edges, directed/undirected, connected components, strongly connected components</t>
  </si>
  <si>
    <t>Shortest distance question on a given graph (visual dry run)</t>
  </si>
  <si>
    <t>Design a LinkedList class with all Collections methods</t>
  </si>
  <si>
    <t>Linked List / Design</t>
  </si>
  <si>
    <t>Find array pairs that add up to a given sum</t>
  </si>
  <si>
    <t>https://leetcode.com/problems/two-sum/</t>
  </si>
  <si>
    <t>Arrays / Hashing</t>
  </si>
  <si>
    <t>2 coding problems on Linked Lists (operations, traversal, edge cases)</t>
  </si>
  <si>
    <t>Ramco Systems</t>
  </si>
  <si>
    <t>Longest Non-Repeating Substring</t>
  </si>
  <si>
    <t>https://leetcode.com/problems/longest-substring-without-repeating-characters/</t>
  </si>
  <si>
    <t>Written Technical Test</t>
  </si>
  <si>
    <t>Sliding Window / String</t>
  </si>
  <si>
    <t>Finding All Duplicate Subtrees in a Binary Tree</t>
  </si>
  <si>
    <t>https://leetcode.com/problems/find-duplicate-subtrees/</t>
  </si>
  <si>
    <t>Longest Harmonic Subsequence</t>
  </si>
  <si>
    <t>https://leetcode.com/problems/longest-harmonious-subsequence/</t>
  </si>
  <si>
    <t>Optimizing written test solutions</t>
  </si>
  <si>
    <t>Check whether two binary trees are identical</t>
  </si>
  <si>
    <t>https://leetcode.com/problems/same-tree/</t>
  </si>
  <si>
    <t>Implement a Queue using two Stacks</t>
  </si>
  <si>
    <t>Stack / Queue</t>
  </si>
  <si>
    <t>Detect a loop in a linked list</t>
  </si>
  <si>
    <t>https://leetcode.com/problems/linked-list-cycle/</t>
  </si>
  <si>
    <t>Recursion program — explain output and derive time complexity</t>
  </si>
  <si>
    <t>Recursion</t>
  </si>
  <si>
    <t>Binary String problem requiring pattern analysis</t>
  </si>
  <si>
    <t>Rotate List</t>
  </si>
  <si>
    <t>https://leetcode.com/problems/rotate-list/</t>
  </si>
  <si>
    <t>Dijkstra's Algorithm</t>
  </si>
  <si>
    <t>Gas Station problem</t>
  </si>
  <si>
    <t>https://leetcode.com/problems/gas-station/</t>
  </si>
  <si>
    <t>Greedy / Arrays</t>
  </si>
  <si>
    <t>Array Rearrangement — alternate max/min elements (C language)</t>
  </si>
  <si>
    <t>N houses, N-1 roads — find farthest friend distance per house (C language)</t>
  </si>
  <si>
    <t>Trees / Graph</t>
  </si>
  <si>
    <t>Sort unsorted linked list without manipulating data / without new list</t>
  </si>
  <si>
    <t>What is time complexity?</t>
  </si>
  <si>
    <t>Fundamentals</t>
  </si>
  <si>
    <t>Difference between malloc and calloc</t>
  </si>
  <si>
    <t>Detect loop in a linked list</t>
  </si>
  <si>
    <t>Return the start node of the loop in a linked list</t>
  </si>
  <si>
    <t>https://leetcode.com/problems/linked-list-cycle-ii/</t>
  </si>
  <si>
    <t>Trace output &amp; time complexity of recursive func(n,m) code snippet</t>
  </si>
  <si>
    <t>None</t>
  </si>
  <si>
    <t>Difficulty</t>
  </si>
  <si>
    <t>Round</t>
  </si>
  <si>
    <r>
      <rPr>
        <rFont val="Arial"/>
        <color rgb="FF1155CC"/>
        <u/>
      </rPr>
      <t>https://leetcode.com/problems/count-elements-with-maximum-frequency/</t>
    </r>
  </si>
  <si>
    <r>
      <rPr>
        <rFont val="Arial"/>
        <color rgb="FF1155CC"/>
        <u/>
      </rPr>
      <t>https://www.geeksforgeeks.org/problems/odd-or-even3618/1</t>
    </r>
  </si>
  <si>
    <r>
      <rPr>
        <rFont val="Arial"/>
        <color rgb="FF1155CC"/>
        <u/>
      </rPr>
      <t>https://www.geeksforgeeks.org/dsa/bitwise-recursive-addition-two-integers/</t>
    </r>
  </si>
  <si>
    <r>
      <rPr>
        <rFont val="Arial"/>
        <color rgb="FF1155CC"/>
        <u/>
      </rPr>
      <t>https://leetcode.com/problems/validate-ip-address/description/</t>
    </r>
  </si>
  <si>
    <t>https://leetcode.com/problems/next-greater-element-i/?utm_source=chatgpt.com</t>
  </si>
  <si>
    <t xml:space="preserve">Interview </t>
  </si>
  <si>
    <t>https://www.geeksforgeeks.org/problems/largest-subtree-sum-in-a-tree/1?utm_source=chatgpt.com</t>
  </si>
  <si>
    <t>https://leetcode.com/problems/binary-tree-zigzag-level-order-traversal/?utm_source=chatgpt.com</t>
  </si>
  <si>
    <t>https://leetcode.com/problems/wildcard-matching/?utm_source=chatgpt.com</t>
  </si>
  <si>
    <t>https://leetcode.com/problems/next-greater-element-iii/?envId=two-pointers&amp;envType=problem-list-v2&amp;utm_source=chatgpt.com</t>
  </si>
  <si>
    <t>https://www.geeksforgeeks.org/dsa/remove-duplicates-from-an-unsorted-array-using-set/?utm_source=chatgpt.com</t>
  </si>
  <si>
    <t>https://www.geeksforgeeks.org/dsa/maximum-sum-tree-adjacent-levels-not-allowed/?utm_source=chatgpt.com</t>
  </si>
  <si>
    <t>https://www.geeksforgeeks.org/dsa/find-second-largest-element-array/?utm_source=chatgpt.com</t>
  </si>
  <si>
    <t>https://leetcode.com/problems/course-schedule-ii/?utm_source=chatgpt.com</t>
  </si>
  <si>
    <t>https://leetcode.com/problems/reverse-linked-list/?envId=5f6kgmnj&amp;envType=list&amp;utm_source=chatgpt.com</t>
  </si>
  <si>
    <t>https://leetcode.com/problems/search-suggestions-system/?utm_source=chatgpt.com</t>
  </si>
  <si>
    <t>https://leetcode.com/problems/rotting-oranges/?utm_source=chatgpt.com</t>
  </si>
  <si>
    <t>https://leetcode.com/problems/intersection-of-two-linked-lists/solutions/?envType=problem-list-&amp;utm_source=chatgpt.com</t>
  </si>
  <si>
    <t>https://leetcode.com/problems/min-stack/?utm_source=chatgpt.com</t>
  </si>
  <si>
    <t>https://leetcode.com/problems/missing-number/?utm_source=chatgpt.com</t>
  </si>
  <si>
    <t>https://leetcode.com/problems/super-egg-drop/description/?envId=amazon&amp;envType=company&amp;favoriteSlug=amazon-all&amp;utm_source=chatgpt.com</t>
  </si>
  <si>
    <t>https://leetcode.com/problems/permutations/?utm_source=chatgpt.com</t>
  </si>
  <si>
    <t>https://www.geeksforgeeks.org/check-if-the-given-push-and-pop-</t>
  </si>
  <si>
    <t>https://leetcode.com/problems/reverse-words-in-a-string/?utm_source=chatgpt.com</t>
  </si>
  <si>
    <t>https://www.geeksforgeeks.org/print-alternate-nodes-from-all-</t>
  </si>
  <si>
    <t>https://www.geeksforgeeks.org/problems/detect-cycle-in-an-undirected-graph/1</t>
  </si>
  <si>
    <t>https://leetcode.com/problems/trapping-rain-water/</t>
  </si>
  <si>
    <t>https://leetcode.com/problems/minimum-insertion-steps-to-make-a-string-palindrome/?utm_source=chatgpt.com</t>
  </si>
  <si>
    <t>https://www.geeksforgeeks.org/dsa/implement-two-stacks-in-an-array/?utm_source=chatgpt.com</t>
  </si>
  <si>
    <t>https://leetcode.com/problems/two-sum-ii-input-array-is-sorted/?utm_source=chatgpt.com</t>
  </si>
  <si>
    <t>https://leetcode.com/problems/reverse-integer/?utm_source=chatgpt.com</t>
  </si>
  <si>
    <t>https://leetcode.com/problems/reverse-linked-list/?utm_source=chatgpt.com</t>
  </si>
  <si>
    <t>https://leetcode.com/problems/numbers-with-same-consecutive-differences/?utm_source=chatgpt.com</t>
  </si>
  <si>
    <t>https://www.geeksforgeeks.org/dsa/maximum-sum-rectangle-in-a-2d-matrix-dp-27/?utm_source=chatgpt.com</t>
  </si>
  <si>
    <t>https://www.geeksforgeeks.org/dsa/0-1-knapsack-problem-dp-10/?utm_source=chatgpt.com</t>
  </si>
  <si>
    <t>https://leetcode.com/problems/group-anagrams/?utm_source=chatgpt.com</t>
  </si>
  <si>
    <t>https://leetcode.com/problems/rotate-array/?utm_source=chatgpt.com</t>
  </si>
  <si>
    <t>https://leetcode.com/problems/merge-two-sorted-lists/?utm_source=chatgpt.com</t>
  </si>
  <si>
    <t>https://leetcode.com/problems/minimum-depth-of-binary-tree/?utm_source=chatgpt.com</t>
  </si>
  <si>
    <t>https://leetcode.com/problems/power-of-two/?utm_source=chatgpt.com</t>
  </si>
  <si>
    <t>https://www.geeksforgeeks.org/dsa/boundary-traversal-of-binary-tree/?utm_source=chatgpt.com</t>
  </si>
  <si>
    <t>https://leetcode.com/problems/linked-list-cycle/?utm_source=chatgpt.com</t>
  </si>
  <si>
    <t>https://leetcode.com/problems/sort-colors/?utm_source=chatgpt.com</t>
  </si>
  <si>
    <t>https://leetcode.com/problems/majority-element/?utm_source=chatgpt.com</t>
  </si>
  <si>
    <t>https://www.geeksforgeeks.org/problems/floor-in-a-sorted-array-1587115620/1?utm_source=chatgpt.com</t>
  </si>
  <si>
    <t>https://leetcode.com/problems/best-time-to-buy-and-sell-stock/?utm_source=chatgpt.com</t>
  </si>
  <si>
    <t>https://leetcode.com/problems/binary-search/?utm_source=chatgpt.com</t>
  </si>
  <si>
    <t>Optimize Data Retrieval from a Large Database</t>
  </si>
  <si>
    <t>Explain Data Structures, Examples, and Real-World Applications</t>
  </si>
  <si>
    <t>Delete One Element to Maximize the Remaining Range</t>
  </si>
  <si>
    <t>Choose the Right Data Structure for a Project</t>
  </si>
  <si>
    <t>Explain Database Normalization and Its Purpose</t>
  </si>
  <si>
    <t>Find the Nth Term of a Modified Fibonacci Sequence</t>
  </si>
  <si>
    <t>3Sum: Find Triplets Summing to Zero</t>
  </si>
  <si>
    <t>Transform One Array into Another by Sorting Subarrays</t>
  </si>
  <si>
    <t>Compare Second and Third Normal Form</t>
  </si>
  <si>
    <t>Explain Linked Lists and Their Types</t>
  </si>
  <si>
    <t>Find Buildings That Receive Sunrise and Sunset</t>
  </si>
  <si>
    <t>Count Weird Numbers from 1 to N</t>
  </si>
  <si>
    <t>Explain BFS and DFS Traversals</t>
  </si>
  <si>
    <t>Sort Every Matrix Row in Ascending Order</t>
  </si>
  <si>
    <t>Compare SQL DELETE and TRUNCATE</t>
  </si>
  <si>
    <t>Find the Height of a Binary Tree</t>
  </si>
  <si>
    <t>Maximize an Array Using Replacement Digits</t>
  </si>
  <si>
    <t>Find the Single Non-Duplicate Element</t>
  </si>
  <si>
    <t>Minimum Moves to Climb N Steps Using 1 or M Steps</t>
  </si>
  <si>
    <t>SQL Query for the Second-Highest Salary</t>
  </si>
  <si>
    <t>Find the Duplicated Prime Using Prime-Number Properties</t>
  </si>
  <si>
    <t>Normalize a Student-Details Database Schema</t>
  </si>
  <si>
    <t>SQL Query to Fetch the First N Rows</t>
  </si>
  <si>
    <t>Minimum Hours to Reach Target Energy Across Cities</t>
  </si>
  <si>
    <t>Technical Interview Round 2</t>
  </si>
  <si>
    <t>Explain Database Normalization</t>
  </si>
  <si>
    <t>AI Prompting Option: AI-Based Predictive Incident Detection</t>
  </si>
  <si>
    <t>AI Prompting</t>
  </si>
  <si>
    <t>AI Prompting Option: Intelligent IT Resource Optimization</t>
  </si>
  <si>
    <t>AI Prompting Option: AI-Based Marketing Personalization</t>
  </si>
  <si>
    <t>Technical Interview Round 1</t>
  </si>
  <si>
    <t>Compare Function Overloading and Overriding</t>
  </si>
  <si>
    <t>AI Prompting Option: Automated Cybersecurity Threat Detection</t>
  </si>
  <si>
    <t>Check Whether a Number's Digit Sum Is Prime</t>
  </si>
  <si>
    <t>Explain Multiple Inheritance in C++</t>
  </si>
  <si>
    <t>Maximize Non-Decreasing Array Length by Merging Subarrays</t>
  </si>
  <si>
    <t>Explain Virtual Inheritance in C++</t>
  </si>
  <si>
    <t>Compare ReactJS and React Native</t>
  </si>
  <si>
    <t>Explain C++ Loop Types and Compare while with do-while</t>
  </si>
  <si>
    <t>Optimize a Database Table for Fast Retrieval</t>
  </si>
  <si>
    <t>Compare MongoDB and Firebase</t>
  </si>
  <si>
    <t>Explain SQL Joins</t>
  </si>
  <si>
    <t>Explain SQL Query Execution and Processing</t>
  </si>
  <si>
    <t>Explain Integrity Constraints in DBMS</t>
  </si>
  <si>
    <t>Explain Types of Variables in C++</t>
  </si>
  <si>
    <t>SQL Query for the Second-Highest Student Mark</t>
  </si>
  <si>
    <t>Use a Class Defined in Another C++ File</t>
  </si>
  <si>
    <t>Design a Weather Application</t>
  </si>
  <si>
    <t>Count Nodes in Every Connected Component</t>
  </si>
  <si>
    <t>Explain Why You Would Choose C++ over C</t>
  </si>
  <si>
    <t>Count Triplets with Sum Below a Threshold</t>
  </si>
  <si>
    <t>Explain the Primary Benefit of Polymorphism</t>
  </si>
  <si>
    <t>Explain Object Slicing in C++</t>
  </si>
  <si>
    <t>When to Use a Circular Linked List Instead of a Doubly Linked List</t>
  </si>
  <si>
    <t>Determine Whether a Number Is Weird</t>
  </si>
  <si>
    <t>Explain AVL Trees and Their Relationship to BSTs</t>
  </si>
  <si>
    <t>Largest BST Subtree in a Binary Tree</t>
  </si>
  <si>
    <t>Nearest City Query (Modified)</t>
  </si>
  <si>
    <t>Count Distinct Pairs with Difference K</t>
  </si>
  <si>
    <t>Jump Game VI</t>
  </si>
  <si>
    <t>Sum of String Similarities Across All Suffixes</t>
  </si>
  <si>
    <t>Maximum Absolute Difference of Value and Index Sums</t>
  </si>
  <si>
    <t>Delete a Linked-List Node by Key</t>
  </si>
  <si>
    <t>Round 1 (Online Coding Test)</t>
  </si>
  <si>
    <t>Stable Partition Negatives Before Positives</t>
  </si>
  <si>
    <t>Explain a Deque</t>
  </si>
  <si>
    <t>Round 2 (Technical Round 1)</t>
  </si>
  <si>
    <t>Convert a Binary Tree to Its Mirror Image</t>
  </si>
  <si>
    <t>Explain Union and Intersection in DBMS</t>
  </si>
  <si>
    <t>Write a Runtime Polymorphism Example in Java</t>
  </si>
  <si>
    <t>Split Singer Groups to Minimize the Largest Group</t>
  </si>
  <si>
    <t>Create a Trigger to Update Another Table After Insert</t>
  </si>
  <si>
    <t>Round 3 (Technical Round 2)</t>
  </si>
  <si>
    <t>Autocomplete Word Suggestions by Prefix</t>
  </si>
  <si>
    <t>Reverse a Linked List in Groups of 3</t>
  </si>
  <si>
    <t>Print Two Words Crossing at Their First Common Character</t>
  </si>
  <si>
    <t>Choose Data Structures for an Elevator System</t>
  </si>
  <si>
    <t>Maximize Stock Profit with a 0/1 Knapsack Budget</t>
  </si>
  <si>
    <t>Choose a Data Structure for ATM Cash Denominations</t>
  </si>
  <si>
    <t>Merge Two Sorted Linked Lists</t>
  </si>
  <si>
    <t>Count Days Whose Expense Exceeds the Five-Day Average</t>
  </si>
  <si>
    <t>Min Stack</t>
  </si>
  <si>
    <t>Maximum All-Ones Submatrix for Defective Products</t>
  </si>
  <si>
    <t>Binary Tree Level Order Traversal</t>
  </si>
  <si>
    <t>Depth-First Search of a Graph</t>
  </si>
  <si>
    <t>Reverse a Linked List from Scratch</t>
  </si>
  <si>
    <t>Binary Tree Zigzag Level Order Traversal</t>
  </si>
  <si>
    <t>Determine Whether a Number Is Prime</t>
  </si>
  <si>
    <t>Design a Server to Handle Heavy Load</t>
  </si>
  <si>
    <t>Round 2 (Technical Interview)</t>
  </si>
  <si>
    <t>Implement a Stack Using Two Queues</t>
  </si>
  <si>
    <t>Design Manager and Employee Classes Using OOP</t>
  </si>
  <si>
    <t>Maximum Sum of Three Array Elements</t>
  </si>
  <si>
    <t>Maximum Path Sum Between Two Leaves of a Binary Tree</t>
  </si>
  <si>
    <t>Design a Fast and Fault-Tolerant Database Management System</t>
  </si>
  <si>
    <t>Design a Processor to Detect Post-Compilation Code Modification</t>
  </si>
  <si>
    <t>Maximum Length Chain of Pairs</t>
  </si>
  <si>
    <t>Design a RedBus-Like Booking Application</t>
  </si>
  <si>
    <t>Merge Two Linked Lists</t>
  </si>
  <si>
    <t>Maximum Flow in a Graph</t>
  </si>
  <si>
    <t>Compare an Array and a Stack</t>
  </si>
  <si>
    <t>Remove Duplicates from a Sorted Linked List</t>
  </si>
  <si>
    <t>Implement Binary Search</t>
  </si>
  <si>
    <t>Explain the Difference Between void and null</t>
  </si>
  <si>
    <t>Explain the Quick Sort Algorithm</t>
  </si>
  <si>
    <t>Round 3 (Technical Interview 2)</t>
  </si>
  <si>
    <t>Find the Kth Smallest Element in an Array</t>
  </si>
  <si>
    <t>Intersection Point of Two Linked Lists</t>
  </si>
  <si>
    <t>Explain Inheritance</t>
  </si>
  <si>
    <t>Design a Chess Game and Detect Checkmate</t>
  </si>
  <si>
    <t>Design Uber Driver Routing to a Customer Pickup Point</t>
  </si>
  <si>
    <t>N Meetings in One Room</t>
  </si>
  <si>
    <t>Implement a max(a, b) Function</t>
  </si>
  <si>
    <t>Design and Normalize an E-Commerce ER Model</t>
  </si>
  <si>
    <t>Convert a Binary Tree to a Doubly Linked List</t>
  </si>
  <si>
    <t>Find the Missing Vertex of a Parallelogram</t>
  </si>
  <si>
    <t>Compare Primary Keys and Foreign Keys</t>
  </si>
  <si>
    <t>Kth Largest Element in an Array</t>
  </si>
  <si>
    <t>Build a Sequential Matrix and Multiply It by Its Transpose</t>
  </si>
  <si>
    <t>Find the Missing Number in an Unsorted 1-to-N Array</t>
  </si>
  <si>
    <t>Palindrome Pairs</t>
  </si>
  <si>
    <t>Find the Missing and Repeated Number</t>
  </si>
  <si>
    <t>Give a Real-World One-to-Many Relationship</t>
  </si>
  <si>
    <t>Linked List Cycle Detection</t>
  </si>
  <si>
    <t>Find All Repeating Elements in an Array</t>
  </si>
  <si>
    <t>Move Eligible Vowels Forward and Remove Spaces/Special Characters</t>
  </si>
  <si>
    <t>Online Round</t>
  </si>
  <si>
    <t>Explain Database Indexing and Its Advantages</t>
  </si>
  <si>
    <t>Count the Factors of Every Integer in a List</t>
  </si>
  <si>
    <t>Reverse Words in a String In Place</t>
  </si>
  <si>
    <t>Design Hotel Search by Menu Item, Cuisine, and Name</t>
  </si>
  <si>
    <t>Tech + Managerial Interview</t>
  </si>
  <si>
    <t>Find Nearest Free Parking Spaces from an Entrance</t>
  </si>
  <si>
    <t>Generate All Binary Strings from a Pattern Containing Question Marks</t>
  </si>
  <si>
    <t>Choose Between SQL, NoSQL, and Oracle Databases</t>
  </si>
  <si>
    <t>Implement an API Endpoint That Fetches Database Records</t>
  </si>
  <si>
    <t>Josephus Balloon-Passing Game</t>
  </si>
  <si>
    <t>Explain Referential Integrity</t>
  </si>
  <si>
    <t>Convert an Integer to English Words</t>
  </si>
  <si>
    <t>Count Occurrences of Digit D from 0 to N</t>
  </si>
  <si>
    <t>Compare Database Triggers and Stored Procedures</t>
  </si>
  <si>
    <t>Minimum Sum of Products Across Pairs of Matrix Rows</t>
  </si>
  <si>
    <t>Count Number of Overtakes</t>
  </si>
  <si>
    <t>Maximum Product of K Consecutive Digits and Return the Digits</t>
  </si>
  <si>
    <t>Find a Missing Element in a Sorted Consecutive Array</t>
  </si>
  <si>
    <t>Maximum One-to-One Pairs Where A[i] Is Greater Than B[j]</t>
  </si>
  <si>
    <t>Maximum Alloy Units Within Budget</t>
  </si>
  <si>
    <t>Senior Manager Interview</t>
  </si>
  <si>
    <t>Explain Merge Sort</t>
  </si>
  <si>
    <t>Kth Smallest Element in a BST</t>
  </si>
  <si>
    <t>Explain Merge Sort with Follow-Up Questions</t>
  </si>
  <si>
    <t>Predict Output of an Unguarded Recursive Method</t>
  </si>
  <si>
    <t>Design a Database for All Indian Citizens</t>
  </si>
  <si>
    <t>Detect a Loop in a Linked List</t>
  </si>
  <si>
    <t>Longest Common Prefix with Spaces and Case Normalization</t>
  </si>
  <si>
    <t>Segregate and Sort Even and Odd Numbers</t>
  </si>
  <si>
    <t>Sum an Array Using Threads</t>
  </si>
  <si>
    <t>Implement and Explain an Abstract Class</t>
  </si>
  <si>
    <t>Evaluate C Short-Circuit, Assignment, and Bitwise Conditions</t>
  </si>
  <si>
    <t>Implement an Efficient Sorting Algorithm</t>
  </si>
  <si>
    <t>Predict Behavior When Returning a Pointer to a Local Variable</t>
  </si>
  <si>
    <t>Explain Graph Traversal Techniques</t>
  </si>
  <si>
    <t>Odd String Difference</t>
  </si>
  <si>
    <t>Compare BFS and DFS Performance</t>
  </si>
  <si>
    <t>Minimum-Cost Jump Game with Maximum Jump K</t>
  </si>
  <si>
    <t>Optimize Odd String Difference</t>
  </si>
  <si>
    <t>Design ATM Use Cases</t>
  </si>
  <si>
    <t>Handle Simultaneous UPI, ATM, and Cheque Transactions</t>
  </si>
  <si>
    <t>Count Consonants in a String</t>
  </si>
  <si>
    <t>Maximize Child Steps Overlapping the Mother's Footsteps</t>
  </si>
  <si>
    <t>Count Months Whose First Day Is Sunday in a Year Range</t>
  </si>
  <si>
    <t>Optimize Minimum-Cost Jump Game</t>
  </si>
  <si>
    <t>Write a Basic SQL JOIN Query</t>
  </si>
  <si>
    <t>First Index Starting Three Consecutive Values Above a Threshold</t>
  </si>
  <si>
    <t>Distribute Elements by Greater-Element Counts</t>
  </si>
  <si>
    <t>Place Indexed Tetris-Like Figures on a Grid</t>
  </si>
  <si>
    <t>Handle Concurrent Hotel or Restaurant Transactions</t>
  </si>
  <si>
    <t>Count Alternating-Parity Sawtooth Subarrays</t>
  </si>
  <si>
    <t>Implement a Simple Class Demonstrating Abstraction</t>
  </si>
  <si>
    <t>Explain Binary Search and Its Efficiency</t>
  </si>
  <si>
    <t>Explain or Illustrate Merge Sort</t>
  </si>
  <si>
    <t>Partition an Array Around a Pair Whose Sum Also Appears</t>
  </si>
  <si>
    <t>Explain Quick Sort and Its Efficiency</t>
  </si>
  <si>
    <t>Time Machine Travel Across Years</t>
  </si>
  <si>
    <t>Determine a Cyclic Lunar Phase for a Date</t>
  </si>
  <si>
    <t>Count Perfect Squares in an Array</t>
  </si>
  <si>
    <t>Simulate Library Book Circulation</t>
  </si>
  <si>
    <t>Apply Range Reversals and Return the Kth Queue Member</t>
  </si>
  <si>
    <t>Determine Whether the Seven Bridges of Konigsberg Instance Is Solvable</t>
  </si>
  <si>
    <t>Coordinate Illuminated by the Most Lamps</t>
  </si>
  <si>
    <t>Find Tree Depth Using DFS</t>
  </si>
  <si>
    <t>Find Duplicate Names with SQL</t>
  </si>
  <si>
    <t>Remove Duplicates from a Sorted Array</t>
  </si>
  <si>
    <t>Explain the Difference Between a Tree and a Graph</t>
  </si>
  <si>
    <t>Area of Intersection of Two Circles</t>
  </si>
  <si>
    <t>SQL Query for Top Three CSE Students with Department Name</t>
  </si>
  <si>
    <t>Return a Sorted List of Repeated Words</t>
  </si>
  <si>
    <t>Give a Real-World Application of a Deque</t>
  </si>
  <si>
    <t>Design a Database and Its Relationships</t>
  </si>
  <si>
    <t>Maximum Barrier with Required Remaining Energy</t>
  </si>
  <si>
    <t>Explain Database Triggers</t>
  </si>
  <si>
    <t>Maximize Stock Profit Under a Budget</t>
  </si>
  <si>
    <t>Aggregate Process Execution Time per Task in SQL</t>
  </si>
  <si>
    <t>Explain DDL, DML, and DCL Commands</t>
  </si>
  <si>
    <t>First N Primes Ending in K, Plus 2 and 5</t>
  </si>
  <si>
    <t>Choose a Suitable Database for an RDBMS</t>
  </si>
  <si>
    <t>Minimum Length of Anagram Concatenation</t>
  </si>
  <si>
    <t>Count Vowel Substrings of a String</t>
  </si>
  <si>
    <t>Count Chessboard Cells Reachable by a Bishop in K Moves</t>
  </si>
  <si>
    <t>Maximum Subarray Sum and Return the Subarray</t>
  </si>
  <si>
    <t>Summarize Each User's 2023 Transactions in SQL</t>
  </si>
  <si>
    <t>Explain Third Normal Form with an Example</t>
  </si>
  <si>
    <t>Find the Second Most Frequent Item with SQL</t>
  </si>
  <si>
    <t>Design an API to Handle Too Many Requests</t>
  </si>
  <si>
    <t>Frequency of a Character in a String</t>
  </si>
  <si>
    <t>Explain Database Normalization and Why It Is Needed</t>
  </si>
  <si>
    <t>Parallel Even and Odd Array Sums with Two Threads</t>
  </si>
  <si>
    <t>Explain Boyce-Codd Normal Form with an Example</t>
  </si>
  <si>
    <t>Sort Array Prefix Ascending and Suffix Descending</t>
  </si>
  <si>
    <t>Check Whether a Hamiltonian Cycle Exists</t>
  </si>
  <si>
    <t>Explain Transitive Functional Dependency with an Example</t>
  </si>
  <si>
    <t>Explain Data Redundancy in Databases</t>
  </si>
  <si>
    <t>Lexicographically Sort an Array of Strings</t>
  </si>
  <si>
    <t>Which Sorting Algorithm Does Java Arrays.sort Use?</t>
  </si>
  <si>
    <t>Find Inorder Predecessor and Successor of a Binary Tree Node</t>
  </si>
  <si>
    <t>Explain Primary and Foreign Keys</t>
  </si>
  <si>
    <t>Compare Thread and Runnable</t>
  </si>
  <si>
    <t>Explain Priority-Queue Use in Round Robin Scheduling</t>
  </si>
  <si>
    <t>Sort SQL Query Results by a Column</t>
  </si>
  <si>
    <t>Explain an RDBMS</t>
  </si>
  <si>
    <t>Compare Map and HashMap in Java</t>
  </si>
  <si>
    <t>Explain Floyd's Algorithm</t>
  </si>
  <si>
    <t>Explain How Java HashMap Works</t>
  </si>
  <si>
    <t>Find Duplicates in an Array</t>
  </si>
  <si>
    <t>Implement a Stack Using Queues</t>
  </si>
  <si>
    <t>Explain Two-Phase Locking</t>
  </si>
  <si>
    <t>Simulate Lamp-Post States for Multiple Days</t>
  </si>
  <si>
    <t>Explain a Doubly Linked List and Its Applications</t>
  </si>
  <si>
    <t>Explain Polymorphism with Real-Life Examples</t>
  </si>
  <si>
    <t>Explain a Deque and Its Applications</t>
  </si>
  <si>
    <t>Compare HTTP and Sockets</t>
  </si>
  <si>
    <t>Explain Hashing and the Role of B-Trees</t>
  </si>
  <si>
    <t>Explain REST APIs and Common HTTP Methods</t>
  </si>
  <si>
    <t>Write Example Code for Function Overloading</t>
  </si>
  <si>
    <t>Explain BFS and DFS with Applications</t>
  </si>
  <si>
    <t>Explain HTTP Status-Code Classes</t>
  </si>
  <si>
    <t>Explain Dijkstra's Shortest-Path Algorithm</t>
  </si>
  <si>
    <t>Explain Data Abstraction and Encapsulation</t>
  </si>
  <si>
    <t>Explain Red-Black Trees</t>
  </si>
  <si>
    <t>Minimum Fare to Cover an Exact Distance with Reusable Tickets</t>
  </si>
  <si>
    <t>Explain SOLID Design Principles</t>
  </si>
  <si>
    <t>Remove Vowels from a String</t>
  </si>
  <si>
    <t>Explain the Role of Thread.join()</t>
  </si>
  <si>
    <t>Compare HTTP PUT and PATCH</t>
  </si>
  <si>
    <t>Second Highest Salary in Each Department</t>
  </si>
  <si>
    <t>Implement a Sorting Algorithm</t>
  </si>
  <si>
    <t>Explain HTTP Status 429</t>
  </si>
  <si>
    <t>Implement Binary Search on a Sorted Array</t>
  </si>
  <si>
    <t>Explain NoSQL</t>
  </si>
  <si>
    <t>Minimum Pipe Length to Connect All Towns</t>
  </si>
  <si>
    <t>Count Negative Numbers in an Array</t>
  </si>
  <si>
    <t>Count Case-Insensitive Substring Occurrences</t>
  </si>
  <si>
    <t>Explain How to Prevent SQL Injection and DDoS Attacks</t>
  </si>
  <si>
    <t>Compare Sorting Techniques and Their Time Complexities</t>
  </si>
  <si>
    <t>Explain Real-Life Applications of Data Structures</t>
  </si>
  <si>
    <t>Choose a Searching Algorithm and Analyze Its Time Complexity</t>
  </si>
  <si>
    <t>Implement a Sorting Algorithm of Your Choice</t>
  </si>
  <si>
    <t>Explain Stack Implementation, Storage, and Retrieval</t>
  </si>
  <si>
    <t>Design Database Relations and Optimize Column Storage</t>
  </si>
  <si>
    <t>Implement a Sorting Algorithm Other Than Bubble or Merge Sort</t>
  </si>
  <si>
    <t>Choose a Data Structure for an Apartment Lift</t>
  </si>
  <si>
    <t>Write a SELECT Query with Joins for a Designed Database</t>
  </si>
  <si>
    <t>Print the Specified Descending-Digit Pattern</t>
  </si>
  <si>
    <t>Coding Round</t>
  </si>
  <si>
    <t>Minimum Non-Consecutive Fibonacci Sum Representation</t>
  </si>
  <si>
    <t>Sort Integers by Their Squared Values</t>
  </si>
  <si>
    <t>Calculate Calendar Difference in Years, Months, and Days</t>
  </si>
  <si>
    <t>Maximum Workers Simultaneously Inside an Office</t>
  </si>
  <si>
    <t>Design an Inventory Management System</t>
  </si>
  <si>
    <t>Round 3 (Long Coding)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</si>
</sst>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b/>
      <color theme="1"/>
      <name val="Arial"/>
    </font>
    <font>
      <u/>
      <color rgb="FF0000FF"/>
      <name val="Arial"/>
    </font>
    <font>
      <b/>
      <color theme="1"/>
      <name val="Google Sans Text"/>
    </font>
    <font>
      <u/>
      <color rgb="FF0000FF"/>
    </font>
    <font>
      <sz val="11.0"/>
      <color rgb="FF000000"/>
      <name val="Calibri"/>
    </font>
    <font>
      <u/>
      <color rgb="FF0000FF"/>
      <name val="Arial"/>
    </font>
    <font>
      <u/>
      <color rgb="FF0000FF"/>
    </font>
    <font>
      <b/>
      <color rgb="FFFFFFFF"/>
      <name val="Arial"/>
      <scheme val="minor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sz val="11.0"/>
      <color theme="10"/>
      <name val="Calibri"/>
    </font>
    <font>
      <u/>
      <color rgb="FF0551C1"/>
    </font>
    <font>
      <u/>
      <color rgb="FF0551C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1E497C"/>
        <bgColor rgb="FF1E497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3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2" fontId="8" numFmtId="0" xfId="0" applyAlignment="1" applyBorder="1" applyFill="1" applyFont="1">
      <alignment horizontal="center" readingOrder="0"/>
    </xf>
    <xf borderId="1" fillId="3" fontId="8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horizontal="left" readingOrder="0"/>
    </xf>
    <xf borderId="1" fillId="4" fontId="8" numFmtId="0" xfId="0" applyAlignment="1" applyBorder="1" applyFill="1" applyFont="1">
      <alignment horizontal="center" readingOrder="0"/>
    </xf>
    <xf borderId="0" fillId="0" fontId="10" numFmtId="0" xfId="0" applyAlignment="1" applyFont="1">
      <alignment readingOrder="0"/>
    </xf>
    <xf borderId="0" fillId="5" fontId="11" numFmtId="0" xfId="0" applyAlignment="1" applyFill="1" applyFont="1">
      <alignment horizontal="center" shrinkToFit="0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right"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right"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right" vertical="top"/>
    </xf>
    <xf borderId="0" fillId="0" fontId="1" numFmtId="0" xfId="0" applyAlignment="1" applyFont="1">
      <alignment vertical="top"/>
    </xf>
    <xf borderId="0" fillId="0" fontId="8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3" numFmtId="0" xfId="0" applyAlignment="1" applyFont="1">
      <alignment readingOrder="0" vertical="top"/>
    </xf>
    <xf borderId="0" fillId="0" fontId="14" numFmtId="0" xfId="0" applyAlignment="1" applyFont="1">
      <alignment vertical="top"/>
    </xf>
    <xf borderId="0" fillId="0" fontId="15" numFmtId="0" xfId="0" applyAlignment="1" applyFont="1">
      <alignment vertical="top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wrapText="1"/>
    </xf>
    <xf borderId="0" fillId="5" fontId="11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1"/>
    </xf>
    <xf borderId="0" fillId="0" fontId="19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sinfo360.com/2020/08/program-to-find-out-all-happy-numbers-in-given-range.html" TargetMode="External"/><Relationship Id="rId2" Type="http://schemas.openxmlformats.org/officeDocument/2006/relationships/hyperlink" Target="https://leetcode.com/problems/implement-queue-using-stacks/" TargetMode="External"/><Relationship Id="rId3" Type="http://schemas.openxmlformats.org/officeDocument/2006/relationships/hyperlink" Target="https://www.geeksforgeeks.org/tree-traversals-inorder-preorder-and-postorder/" TargetMode="External"/><Relationship Id="rId4" Type="http://schemas.openxmlformats.org/officeDocument/2006/relationships/hyperlink" Target="https://www.geeksforgeeks.org/problems/binary-tree-to-dll/1" TargetMode="External"/><Relationship Id="rId5" Type="http://schemas.openxmlformats.org/officeDocument/2006/relationships/hyperlink" Target="https://leetcode.com/problems/longest-substring-without-repeating-characters/description/" TargetMode="External"/><Relationship Id="rId6" Type="http://schemas.openxmlformats.org/officeDocument/2006/relationships/hyperlink" Target="https://www.geeksforgeeks.org/problems/check-if-strings-are-rotations-of-each-other-or-not-1587115620/1" TargetMode="External"/><Relationship Id="rId7" Type="http://schemas.openxmlformats.org/officeDocument/2006/relationships/hyperlink" Target="https://www.geeksforgeeks.org/puzzle-1000-light-bulbs-switched-on-off-by-1000-persons-passing-by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verse-linked-list/description/" TargetMode="External"/><Relationship Id="rId2" Type="http://schemas.openxmlformats.org/officeDocument/2006/relationships/hyperlink" Target="https://leetcode.com/problems/reverse-words-in-a-string/descript" TargetMode="External"/><Relationship Id="rId3" Type="http://schemas.openxmlformats.org/officeDocument/2006/relationships/hyperlink" Target="https://www.geeksforgeeks.org/dsa/detect-loop-in-a-linked-list/" TargetMode="External"/><Relationship Id="rId4" Type="http://schemas.openxmlformats.org/officeDocument/2006/relationships/hyperlink" Target="https://leetcode.com/problems/insert-into-a-binary-search-tree/description/" TargetMode="External"/><Relationship Id="rId5" Type="http://schemas.openxmlformats.org/officeDocument/2006/relationships/hyperlink" Target="https://leetcode.com/problems/search-in-a-binary-search-tree/description/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linked-list-cycle/description/" TargetMode="External"/><Relationship Id="rId22" Type="http://schemas.openxmlformats.org/officeDocument/2006/relationships/hyperlink" Target="https://leetcode.com/problems/count-array-pairs-divisible-by-k/description/" TargetMode="External"/><Relationship Id="rId21" Type="http://schemas.openxmlformats.org/officeDocument/2006/relationships/hyperlink" Target="https://www.geeksforgeeks.org/dsa/wildcard-pattern-matching/" TargetMode="External"/><Relationship Id="rId24" Type="http://schemas.openxmlformats.org/officeDocument/2006/relationships/hyperlink" Target="https://www.geeksforgeeks.org/problems/inorder-successor-in-bst/1" TargetMode="External"/><Relationship Id="rId23" Type="http://schemas.openxmlformats.org/officeDocument/2006/relationships/hyperlink" Target="https://algo.monster/liteproblems/844" TargetMode="External"/><Relationship Id="rId1" Type="http://schemas.openxmlformats.org/officeDocument/2006/relationships/hyperlink" Target="https://leetcode.com/problems/critical-connections-in-a-network/description/" TargetMode="External"/><Relationship Id="rId2" Type="http://schemas.openxmlformats.org/officeDocument/2006/relationships/hyperlink" Target="https://algo.monster/problems/favorite_genres" TargetMode="External"/><Relationship Id="rId3" Type="http://schemas.openxmlformats.org/officeDocument/2006/relationships/hyperlink" Target="https://leetcode.com/problems/copy-list-with-random-pointer/" TargetMode="External"/><Relationship Id="rId4" Type="http://schemas.openxmlformats.org/officeDocument/2006/relationships/hyperlink" Target="https://www.geeksforgeeks.org/problems/count-pairs-with-given-sum--150253/1" TargetMode="External"/><Relationship Id="rId9" Type="http://schemas.openxmlformats.org/officeDocument/2006/relationships/hyperlink" Target="https://leetcode.com/problems/design-an-ordered-stream/description/" TargetMode="External"/><Relationship Id="rId26" Type="http://schemas.openxmlformats.org/officeDocument/2006/relationships/hyperlink" Target="https://leetcode.com/problems/sort-colors/description/" TargetMode="External"/><Relationship Id="rId25" Type="http://schemas.openxmlformats.org/officeDocument/2006/relationships/hyperlink" Target="https://leetcode.com/problems/detonate-the-maximum-bombs/description/" TargetMode="External"/><Relationship Id="rId28" Type="http://schemas.openxmlformats.org/officeDocument/2006/relationships/hyperlink" Target="https://leetcode.com/problems/word-break/description/" TargetMode="External"/><Relationship Id="rId27" Type="http://schemas.openxmlformats.org/officeDocument/2006/relationships/hyperlink" Target="https://www.geeksforgeeks.org/dsa/k-th-lexicographically-smallest-unique-substring-of-a-given-string/" TargetMode="External"/><Relationship Id="rId5" Type="http://schemas.openxmlformats.org/officeDocument/2006/relationships/hyperlink" Target="https://leetcode.com/problems/merge-two-sorted-lists/" TargetMode="External"/><Relationship Id="rId6" Type="http://schemas.openxmlformats.org/officeDocument/2006/relationships/hyperlink" Target="https://leetcode.com/problems/find-winner-on-a-tic-tac-toe-game/description/" TargetMode="External"/><Relationship Id="rId29" Type="http://schemas.openxmlformats.org/officeDocument/2006/relationships/hyperlink" Target="https://leetcode.com/problems/sum-of-prefix-scores-of-strings/description/" TargetMode="External"/><Relationship Id="rId7" Type="http://schemas.openxmlformats.org/officeDocument/2006/relationships/hyperlink" Target="https://leetcode.com/problems/populating-next-right-pointers-in-each-node/description/" TargetMode="External"/><Relationship Id="rId8" Type="http://schemas.openxmlformats.org/officeDocument/2006/relationships/hyperlink" Target="https://leetcode.com/problems/search-a-2d-matrix/description/" TargetMode="External"/><Relationship Id="rId31" Type="http://schemas.openxmlformats.org/officeDocument/2006/relationships/hyperlink" Target="https://leetcode.com/problems/minimum-moves-to-reach-target-in-grid/description/" TargetMode="External"/><Relationship Id="rId30" Type="http://schemas.openxmlformats.org/officeDocument/2006/relationships/hyperlink" Target="https://leetcode.com/problems/final-prices-with-a-special-discount-in-a-shop/description/" TargetMode="External"/><Relationship Id="rId11" Type="http://schemas.openxmlformats.org/officeDocument/2006/relationships/hyperlink" Target="https://medium.com/@sunnykr3913/binary-search-tree-bst-introduction-operations-and-leetcode-problems-498006ca27f8" TargetMode="External"/><Relationship Id="rId33" Type="http://schemas.openxmlformats.org/officeDocument/2006/relationships/hyperlink" Target="https://leetcode.com/problems/koko-eating-bananas/description/" TargetMode="External"/><Relationship Id="rId10" Type="http://schemas.openxmlformats.org/officeDocument/2006/relationships/hyperlink" Target="https://leetcode.com/problems/task-scheduler/description/" TargetMode="External"/><Relationship Id="rId32" Type="http://schemas.openxmlformats.org/officeDocument/2006/relationships/hyperlink" Target="https://leetcode.com/problems/number-of-enclaves/description/" TargetMode="External"/><Relationship Id="rId13" Type="http://schemas.openxmlformats.org/officeDocument/2006/relationships/hyperlink" Target="https://aonecode.com/amazon-online-assessment/Get-Maximum-Greyness" TargetMode="External"/><Relationship Id="rId35" Type="http://schemas.openxmlformats.org/officeDocument/2006/relationships/drawing" Target="../drawings/drawing4.xml"/><Relationship Id="rId12" Type="http://schemas.openxmlformats.org/officeDocument/2006/relationships/hyperlink" Target="https://algo.monster/liteproblems/2268" TargetMode="External"/><Relationship Id="rId34" Type="http://schemas.openxmlformats.org/officeDocument/2006/relationships/hyperlink" Target="https://leetcode.com/problems/best-time-to-buy-and-sell-stock/description/" TargetMode="External"/><Relationship Id="rId15" Type="http://schemas.openxmlformats.org/officeDocument/2006/relationships/hyperlink" Target="https://leetcode.com/problems/longest-happy-string/description/" TargetMode="External"/><Relationship Id="rId14" Type="http://schemas.openxmlformats.org/officeDocument/2006/relationships/hyperlink" Target="https://leetcode.com/problems/string-compression/description/" TargetMode="External"/><Relationship Id="rId17" Type="http://schemas.openxmlformats.org/officeDocument/2006/relationships/hyperlink" Target="https://leetcode.com/problems/find-pivot-index/description/" TargetMode="External"/><Relationship Id="rId16" Type="http://schemas.openxmlformats.org/officeDocument/2006/relationships/hyperlink" Target="https://leetcode.com/problems/cousins-in-binary-tree/description/" TargetMode="External"/><Relationship Id="rId19" Type="http://schemas.openxmlformats.org/officeDocument/2006/relationships/hyperlink" Target="https://leetcode.com/problems/missing-number/description/" TargetMode="External"/><Relationship Id="rId18" Type="http://schemas.openxmlformats.org/officeDocument/2006/relationships/hyperlink" Target="https://leetcode.com/problems/sort-array-by-parity/description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dsa/lexicographically-smallest-string-by-removing-exactly-k-characters/" TargetMode="External"/><Relationship Id="rId2" Type="http://schemas.openxmlformats.org/officeDocument/2006/relationships/hyperlink" Target="https://leetcode.com/problems/minimize-the-maximum-difference-of-pairs/description/" TargetMode="External"/><Relationship Id="rId3" Type="http://schemas.openxmlformats.org/officeDocument/2006/relationships/hyperlink" Target="https://www.geeksforgeeks.org/problems/second-largest3735/1" TargetMode="External"/><Relationship Id="rId4" Type="http://schemas.openxmlformats.org/officeDocument/2006/relationships/hyperlink" Target="https://leetcode.com/problems/nearest-exit-from-entrance-in-maze/description/" TargetMode="External"/><Relationship Id="rId9" Type="http://schemas.openxmlformats.org/officeDocument/2006/relationships/hyperlink" Target="https://leetcode.com/discuss/post/6332783/microsoft-sse-oa-by-anonymous_user-qew3/" TargetMode="External"/><Relationship Id="rId5" Type="http://schemas.openxmlformats.org/officeDocument/2006/relationships/hyperlink" Target="https://leetcode.com/problems/minimum-amount-of-time-to-collect-garbage/description/" TargetMode="External"/><Relationship Id="rId6" Type="http://schemas.openxmlformats.org/officeDocument/2006/relationships/hyperlink" Target="https://www.geeksforgeeks.org/dsa/maximum-sum-subarray-such-that-start-and-end-values-are-same/" TargetMode="External"/><Relationship Id="rId7" Type="http://schemas.openxmlformats.org/officeDocument/2006/relationships/hyperlink" Target="https://leetcode.com/problems/reverse-words-in-a-string/description/" TargetMode="External"/><Relationship Id="rId8" Type="http://schemas.openxmlformats.org/officeDocument/2006/relationships/hyperlink" Target="https://leetcode.com/problems/minimum-operations-to-make-array-non-decreasing/description/" TargetMode="External"/><Relationship Id="rId11" Type="http://schemas.openxmlformats.org/officeDocument/2006/relationships/hyperlink" Target="https://leetcode.com/problems/merge-intervals/description/" TargetMode="External"/><Relationship Id="rId10" Type="http://schemas.openxmlformats.org/officeDocument/2006/relationships/hyperlink" Target="https://leetcode.com/problems/maximum-path-score-in-a-grid/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leetcode.com/problems/maximum-subarray/description/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number-of-1-bits/description/" TargetMode="External"/><Relationship Id="rId22" Type="http://schemas.openxmlformats.org/officeDocument/2006/relationships/hyperlink" Target="https://takeuforward.org/data-structure/search-in-an-infinite-sorted-array" TargetMode="External"/><Relationship Id="rId21" Type="http://schemas.openxmlformats.org/officeDocument/2006/relationships/hyperlink" Target="https://leetcode.com/problems/kth-largest-element-in-an-array/description/" TargetMode="External"/><Relationship Id="rId24" Type="http://schemas.openxmlformats.org/officeDocument/2006/relationships/hyperlink" Target="https://leetcode.com/problems/spiral-matrix/description/" TargetMode="External"/><Relationship Id="rId23" Type="http://schemas.openxmlformats.org/officeDocument/2006/relationships/hyperlink" Target="https://leetcode.com/problems/missing-number/descript" TargetMode="External"/><Relationship Id="rId1" Type="http://schemas.openxmlformats.org/officeDocument/2006/relationships/hyperlink" Target="https://www.geeksforgeeks.org/problems/josephus-problem/1" TargetMode="External"/><Relationship Id="rId2" Type="http://schemas.openxmlformats.org/officeDocument/2006/relationships/hyperlink" Target="https://leetcode.com/problems/time-needed-to-buy-tickets/description/" TargetMode="External"/><Relationship Id="rId3" Type="http://schemas.openxmlformats.org/officeDocument/2006/relationships/hyperlink" Target="https://leetcode.com/problems/two-sum/description/" TargetMode="External"/><Relationship Id="rId4" Type="http://schemas.openxmlformats.org/officeDocument/2006/relationships/hyperlink" Target="https://leetcode.com/problems/valid-parentheses/description/" TargetMode="External"/><Relationship Id="rId9" Type="http://schemas.openxmlformats.org/officeDocument/2006/relationships/hyperlink" Target="https://leetcode.com/problems/minimum-number-of-changes-to-make-binary-string-beautiful/description/" TargetMode="External"/><Relationship Id="rId26" Type="http://schemas.openxmlformats.org/officeDocument/2006/relationships/hyperlink" Target="https://www.geeksforgeeks.org/dsa/find-the-number-occurring-odd-number-of-times/" TargetMode="External"/><Relationship Id="rId25" Type="http://schemas.openxmlformats.org/officeDocument/2006/relationships/hyperlink" Target="https://unwiredlearning.com/blog/meeting-rooms-ii" TargetMode="External"/><Relationship Id="rId28" Type="http://schemas.openxmlformats.org/officeDocument/2006/relationships/hyperlink" Target="https://leetcode.com/problems/koko-eating-bananas/description/" TargetMode="External"/><Relationship Id="rId27" Type="http://schemas.openxmlformats.org/officeDocument/2006/relationships/hyperlink" Target="https://www.geeksforgeeks.org/problems/count-1s-in-binary-array-1587115620/1" TargetMode="External"/><Relationship Id="rId5" Type="http://schemas.openxmlformats.org/officeDocument/2006/relationships/hyperlink" Target="https://www.geeksforgeeks.org/problems/bubble-sort/1" TargetMode="External"/><Relationship Id="rId6" Type="http://schemas.openxmlformats.org/officeDocument/2006/relationships/hyperlink" Target="https://www.geeksforgeeks.org/aptitude/puzzle-8-balls-problem/" TargetMode="External"/><Relationship Id="rId29" Type="http://schemas.openxmlformats.org/officeDocument/2006/relationships/hyperlink" Target="https://www.geeksforgeeks.org/dsa/swap-two-numbers/" TargetMode="External"/><Relationship Id="rId7" Type="http://schemas.openxmlformats.org/officeDocument/2006/relationships/hyperlink" Target="https://leetcode.com/problems/insert-interval/description/" TargetMode="External"/><Relationship Id="rId8" Type="http://schemas.openxmlformats.org/officeDocument/2006/relationships/hyperlink" Target="https://leetcode.com/problems/find-first-and-last-position-of-element-in-sorted-array/description/" TargetMode="External"/><Relationship Id="rId30" Type="http://schemas.openxmlformats.org/officeDocument/2006/relationships/drawing" Target="../drawings/drawing6.xml"/><Relationship Id="rId11" Type="http://schemas.openxmlformats.org/officeDocument/2006/relationships/hyperlink" Target="https://leetcode.com/problems/reverse-vowels-of-a-string/description/" TargetMode="External"/><Relationship Id="rId10" Type="http://schemas.openxmlformats.org/officeDocument/2006/relationships/hyperlink" Target="https://leetcode.com/problems/finding-pairs-with-a-certain-sum/description/" TargetMode="External"/><Relationship Id="rId13" Type="http://schemas.openxmlformats.org/officeDocument/2006/relationships/hyperlink" Target="https://www.mycoted.com/Manhole_Covers" TargetMode="External"/><Relationship Id="rId12" Type="http://schemas.openxmlformats.org/officeDocument/2006/relationships/hyperlink" Target="https://leetcode.com/problems/longest-substring-without-repeating-characters/description/" TargetMode="External"/><Relationship Id="rId15" Type="http://schemas.openxmlformats.org/officeDocument/2006/relationships/hyperlink" Target="https://leetcode.com/problems/longest-common-prefix/description/" TargetMode="External"/><Relationship Id="rId14" Type="http://schemas.openxmlformats.org/officeDocument/2006/relationships/hyperlink" Target="https://www.geeksforgeeks.org/aptitude/puzzle-3-cuts-cut-round-cake-8-equal-pieces/" TargetMode="External"/><Relationship Id="rId17" Type="http://schemas.openxmlformats.org/officeDocument/2006/relationships/hyperlink" Target="https://leetcode.com/problems/daily-temperatures/description/" TargetMode="External"/><Relationship Id="rId16" Type="http://schemas.openxmlformats.org/officeDocument/2006/relationships/hyperlink" Target="https://leetcode.com/problems/asteroid-collision/description/" TargetMode="External"/><Relationship Id="rId19" Type="http://schemas.openxmlformats.org/officeDocument/2006/relationships/hyperlink" Target="https://leetcode.com/problems/remove-one-element-to-make-the-array-strictly-increasing/description/" TargetMode="External"/><Relationship Id="rId18" Type="http://schemas.openxmlformats.org/officeDocument/2006/relationships/hyperlink" Target="https://leetcode.com/problems/substring-matching-pattern/description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problems/sum-of-two-numbers-represented-as-arrays3110/1" TargetMode="External"/><Relationship Id="rId2" Type="http://schemas.openxmlformats.org/officeDocument/2006/relationships/hyperlink" Target="https://leetcode.com/problems/add-two-numbers/description/" TargetMode="External"/><Relationship Id="rId3" Type="http://schemas.openxmlformats.org/officeDocument/2006/relationships/hyperlink" Target="https://leetcode.com/problems/merge-sorted-array/description/" TargetMode="External"/><Relationship Id="rId4" Type="http://schemas.openxmlformats.org/officeDocument/2006/relationships/hyperlink" Target="https://www.geeksforgeeks.org/problems/restrictive-candy-crush--141631/1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leetcode.com/problems/lowest-common-ancestor-of-a-binary-search-tree/descript" TargetMode="External"/><Relationship Id="rId6" Type="http://schemas.openxmlformats.org/officeDocument/2006/relationships/hyperlink" Target="https://www.geeksforgeeks.org/problems/min-heap-implementation/1" TargetMode="External"/><Relationship Id="rId7" Type="http://schemas.openxmlformats.org/officeDocument/2006/relationships/hyperlink" Target="https://leetcode.com/problems/two-sum/description/" TargetMode="External"/><Relationship Id="rId8" Type="http://schemas.openxmlformats.org/officeDocument/2006/relationships/hyperlink" Target="https://leetcode.com/problems/longest-common-prefix/description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lgo.monster/liteproblems/3496" TargetMode="External"/><Relationship Id="rId2" Type="http://schemas.openxmlformats.org/officeDocument/2006/relationships/hyperlink" Target="https://leetcode.com/problems/contains-duplicate-ii/description/" TargetMode="External"/><Relationship Id="rId3" Type="http://schemas.openxmlformats.org/officeDocument/2006/relationships/hyperlink" Target="https://leetcode.com/problems/missing-number/description/" TargetMode="External"/><Relationship Id="rId4" Type="http://schemas.openxmlformats.org/officeDocument/2006/relationships/hyperlink" Target="https://www.geeksforgeeks.org/dsa/print-all-prime-factors-of-a-given-number/" TargetMode="External"/><Relationship Id="rId5" Type="http://schemas.openxmlformats.org/officeDocument/2006/relationships/hyperlink" Target="https://leetcode.com/problems/max-consecutive-ones/description/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inary-tree-level-order-traversal/description/" TargetMode="External"/><Relationship Id="rId2" Type="http://schemas.openxmlformats.org/officeDocument/2006/relationships/hyperlink" Target="https://leetcode.com/problems/coin-change/description/" TargetMode="External"/><Relationship Id="rId3" Type="http://schemas.openxmlformats.org/officeDocument/2006/relationships/hyperlink" Target="https://www.geeksforgeeks.org/problems/path-in-matrix3805/1" TargetMode="External"/><Relationship Id="rId4" Type="http://schemas.openxmlformats.org/officeDocument/2006/relationships/hyperlink" Target="https://www.geeksforgeeks.org/dsa/find-the-winner-of-a-game-of-removing-at-most-3-stones-from-a-pile-in-each-turn/" TargetMode="External"/><Relationship Id="rId5" Type="http://schemas.openxmlformats.org/officeDocument/2006/relationships/hyperlink" Target="https://www.geeksforgeeks.org/dsa/maximum-number-of-teams-of-size-k-possible-with-each-player-from-different-country/" TargetMode="External"/><Relationship Id="rId6" Type="http://schemas.openxmlformats.org/officeDocument/2006/relationships/hyperlink" Target="https://leetcode.com/problems/divide-two-integers/description/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otal-cost-to-hire-k-workers/description/" TargetMode="External"/><Relationship Id="rId2" Type="http://schemas.openxmlformats.org/officeDocument/2006/relationships/hyperlink" Target="https://leetcode.com/problems/simplify-path/description/" TargetMode="External"/><Relationship Id="rId3" Type="http://schemas.openxmlformats.org/officeDocument/2006/relationships/hyperlink" Target="https://www.geeksforgeeks.org/dsa/sum-nodes-longest-path-root-leaf-node/" TargetMode="External"/><Relationship Id="rId4" Type="http://schemas.openxmlformats.org/officeDocument/2006/relationships/hyperlink" Target="https://leetcode.com/problems/sort-characters-by-frequency/description/" TargetMode="External"/><Relationship Id="rId5" Type="http://schemas.openxmlformats.org/officeDocument/2006/relationships/hyperlink" Target="https://www.geeksforgeeks.org/problems/flattening-a-linked-list/1" TargetMode="External"/><Relationship Id="rId6" Type="http://schemas.openxmlformats.org/officeDocument/2006/relationships/hyperlink" Target="https://leetcode.com/problems/rotting-oranges/description/" TargetMode="External"/><Relationship Id="rId7" Type="http://schemas.openxmlformats.org/officeDocument/2006/relationships/hyperlink" Target="https://leetcode.com/problems/remove-nth-node-from-end-of-list/description/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dsa/find-the-first-repeated-character-in-a-string/" TargetMode="External"/><Relationship Id="rId2" Type="http://schemas.openxmlformats.org/officeDocument/2006/relationships/hyperlink" Target="https://www.geeksforgeeks.org/reverse-words-in-a-given-string/" TargetMode="External"/><Relationship Id="rId3" Type="http://schemas.openxmlformats.org/officeDocument/2006/relationships/hyperlink" Target="https://www.geeksforgeeks.org/javascript/javascript-program-to-find-maximum-distance-between-two-occurrences-of-same-element-in-array/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dsa/detect-and-remove-loop-in-a-linked-list/" TargetMode="External"/><Relationship Id="rId2" Type="http://schemas.openxmlformats.org/officeDocument/2006/relationships/hyperlink" Target="https://www.geeksforgeeks.org/dsa/smallest-subarray-k-distinct-numbers/" TargetMode="External"/><Relationship Id="rId3" Type="http://schemas.openxmlformats.org/officeDocument/2006/relationships/hyperlink" Target="https://leetcode.com/problems/implement-stack-using-queues/description/" TargetMode="External"/><Relationship Id="rId4" Type="http://schemas.openxmlformats.org/officeDocument/2006/relationships/hyperlink" Target="https://leetcode.com/problems/remove-nth-node-from-end-of-list/description/" TargetMode="External"/><Relationship Id="rId5" Type="http://schemas.openxmlformats.org/officeDocument/2006/relationships/hyperlink" Target="https://leetcode.com/problems/missing-number/description/" TargetMode="External"/><Relationship Id="rId6" Type="http://schemas.openxmlformats.org/officeDocument/2006/relationships/hyperlink" Target="https://www.geeksforgeeks.org/problems/nuts-and-bolts-problem0431/1" TargetMode="External"/><Relationship Id="rId7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problems/find-minimum-and-maximum-element-in-an-array4428/1" TargetMode="External"/><Relationship Id="rId2" Type="http://schemas.openxmlformats.org/officeDocument/2006/relationships/hyperlink" Target="https://leetcode.com/problems/lowest-common-ancestor-of-a-binary-tree/description/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discuss/post/4006812/string-generation-oa-question-by-anonymo-y71e/" TargetMode="External"/><Relationship Id="rId2" Type="http://schemas.openxmlformats.org/officeDocument/2006/relationships/hyperlink" Target="https://www.geeksforgeeks.org/problems/count-type-of-characters3635/1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ascals-triangle/description/" TargetMode="External"/><Relationship Id="rId2" Type="http://schemas.openxmlformats.org/officeDocument/2006/relationships/hyperlink" Target="https://leetcode.com/problems/lexicographically-smallest-string-after-deleting-duplicate-characters/description/?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7.xml"/><Relationship Id="rId1" Type="http://schemas.openxmlformats.org/officeDocument/2006/relationships/hyperlink" Target="https://www.geeksforgeeks.org/puzzle-18-torch-and-bridge/" TargetMode="External"/><Relationship Id="rId2" Type="http://schemas.openxmlformats.org/officeDocument/2006/relationships/hyperlink" Target="https://www.geeksforgeeks.org/sort-array-according-count-set-bits/" TargetMode="External"/><Relationship Id="rId3" Type="http://schemas.openxmlformats.org/officeDocument/2006/relationships/hyperlink" Target="https://leetcode.com/problems/reverse-string/" TargetMode="External"/><Relationship Id="rId4" Type="http://schemas.openxmlformats.org/officeDocument/2006/relationships/hyperlink" Target="https://www.geeksforgeeks.org/puzzle-bag-of-coins/" TargetMode="External"/><Relationship Id="rId9" Type="http://schemas.openxmlformats.org/officeDocument/2006/relationships/hyperlink" Target="https://leetcode.com/problems/fibonacci-number/" TargetMode="External"/><Relationship Id="rId5" Type="http://schemas.openxmlformats.org/officeDocument/2006/relationships/hyperlink" Target="https://www.geeksforgeeks.org/diameter-n-ary-tree/" TargetMode="External"/><Relationship Id="rId6" Type="http://schemas.openxmlformats.org/officeDocument/2006/relationships/hyperlink" Target="https://leetcode.com/problems/valid-palindrome/" TargetMode="External"/><Relationship Id="rId7" Type="http://schemas.openxmlformats.org/officeDocument/2006/relationships/hyperlink" Target="https://www.geeksforgeeks.org/c-program-for-tower-of-hanoi/" TargetMode="External"/><Relationship Id="rId8" Type="http://schemas.openxmlformats.org/officeDocument/2006/relationships/hyperlink" Target="https://www.geeksforgeeks.org/c-program-check-given-string-palindrome/" TargetMode="External"/><Relationship Id="rId11" Type="http://schemas.openxmlformats.org/officeDocument/2006/relationships/hyperlink" Target="https://leetcode.com/problems/linked-list-cycle/" TargetMode="External"/><Relationship Id="rId10" Type="http://schemas.openxmlformats.org/officeDocument/2006/relationships/hyperlink" Target="https://leetcode.com/problems/delete-node-in-a-linked-list/" TargetMode="External"/><Relationship Id="rId13" Type="http://schemas.openxmlformats.org/officeDocument/2006/relationships/hyperlink" Target="https://www.geeksforgeeks.org/find-second-largest-element-array/" TargetMode="External"/><Relationship Id="rId12" Type="http://schemas.openxmlformats.org/officeDocument/2006/relationships/hyperlink" Target="https://www.geeksforgeeks.org/puzzle-7-3-bulbs-and-3-switches/" TargetMode="External"/><Relationship Id="rId15" Type="http://schemas.openxmlformats.org/officeDocument/2006/relationships/hyperlink" Target="https://leetcode.com/problems/remove-duplicates-from-sorted-array/" TargetMode="External"/><Relationship Id="rId14" Type="http://schemas.openxmlformats.org/officeDocument/2006/relationships/hyperlink" Target="https://leetcode.com/problems/reverse-string/" TargetMode="External"/><Relationship Id="rId17" Type="http://schemas.openxmlformats.org/officeDocument/2006/relationships/hyperlink" Target="https://leetcode.com/problems/remove-duplicates-from-sorted-array/" TargetMode="External"/><Relationship Id="rId16" Type="http://schemas.openxmlformats.org/officeDocument/2006/relationships/hyperlink" Target="https://leetcode.com/problems/valid-palindrome/" TargetMode="External"/><Relationship Id="rId19" Type="http://schemas.openxmlformats.org/officeDocument/2006/relationships/hyperlink" Target="https://leetcode.com/problems/minimum-path-sum/" TargetMode="External"/><Relationship Id="rId18" Type="http://schemas.openxmlformats.org/officeDocument/2006/relationships/hyperlink" Target="https://leetcode.com/problems/valid-palindrome/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inked-list-cycle/" TargetMode="External"/><Relationship Id="rId2" Type="http://schemas.openxmlformats.org/officeDocument/2006/relationships/hyperlink" Target="https://leetcode.com/problems/remove-all-adjacent-duplicates-in-string/" TargetMode="External"/><Relationship Id="rId3" Type="http://schemas.openxmlformats.org/officeDocument/2006/relationships/hyperlink" Target="https://www.geeksforgeeks.org/find-position-element-sorted-array-infinite-numbers/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poj.com/problems/AGGRCOW/" TargetMode="External"/><Relationship Id="rId2" Type="http://schemas.openxmlformats.org/officeDocument/2006/relationships/hyperlink" Target="https://www.geeksforgeeks.org/majority-element/" TargetMode="External"/><Relationship Id="rId3" Type="http://schemas.openxmlformats.org/officeDocument/2006/relationships/hyperlink" Target="https://www.geeksforgeeks.org/count-ways-reach-nth-stair/" TargetMode="External"/><Relationship Id="rId4" Type="http://schemas.openxmlformats.org/officeDocument/2006/relationships/hyperlink" Target="https://leetcode.com/problems/linked-list-cycle/" TargetMode="External"/><Relationship Id="rId9" Type="http://schemas.openxmlformats.org/officeDocument/2006/relationships/hyperlink" Target="https://leetcode.com/problems/two-sum/" TargetMode="External"/><Relationship Id="rId5" Type="http://schemas.openxmlformats.org/officeDocument/2006/relationships/hyperlink" Target="https://www.geeksforgeeks.org/check-array-elements-consecutive-time-o1-space-handles-positive-negative-numbers/" TargetMode="External"/><Relationship Id="rId6" Type="http://schemas.openxmlformats.org/officeDocument/2006/relationships/hyperlink" Target="https://leetcode.com/problems/first-missing-positive/" TargetMode="External"/><Relationship Id="rId7" Type="http://schemas.openxmlformats.org/officeDocument/2006/relationships/hyperlink" Target="https://www.geeksforgeeks.org/count-1s-sorted-binary-array/" TargetMode="External"/><Relationship Id="rId8" Type="http://schemas.openxmlformats.org/officeDocument/2006/relationships/hyperlink" Target="https://www.geeksforgeeks.org/check-linked-list-circular-linked-list/" TargetMode="External"/><Relationship Id="rId11" Type="http://schemas.openxmlformats.org/officeDocument/2006/relationships/hyperlink" Target="https://leetcode.com/problems/non-overlapping-intervals/" TargetMode="External"/><Relationship Id="rId10" Type="http://schemas.openxmlformats.org/officeDocument/2006/relationships/hyperlink" Target="https://www.geeksforgeeks.org/find-swap-values-two-arrays/" TargetMode="External"/><Relationship Id="rId13" Type="http://schemas.openxmlformats.org/officeDocument/2006/relationships/hyperlink" Target="https://leetcode.com/problems/next-permutation/" TargetMode="External"/><Relationship Id="rId12" Type="http://schemas.openxmlformats.org/officeDocument/2006/relationships/hyperlink" Target="https://www.geeksforgeeks.org/find-second-largest-element-array/" TargetMode="External"/><Relationship Id="rId15" Type="http://schemas.openxmlformats.org/officeDocument/2006/relationships/drawing" Target="../drawings/drawing20.xml"/><Relationship Id="rId14" Type="http://schemas.openxmlformats.org/officeDocument/2006/relationships/hyperlink" Target="https://www.geeksforgeeks.org/check-if-array-is-sorted-and-rotated/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practice.geeksforgeeks.org/problems/anagram-1587115620/1" TargetMode="External"/><Relationship Id="rId2" Type="http://schemas.openxmlformats.org/officeDocument/2006/relationships/hyperlink" Target="https://practice.geeksforgeeks.org/problems/activity-selection-1587115620/1" TargetMode="External"/><Relationship Id="rId3" Type="http://schemas.openxmlformats.org/officeDocument/2006/relationships/hyperlink" Target="https://practice.geeksforgeeks.org/problems/sort-an-array-of-0s-1s-and-2s4231/1" TargetMode="External"/><Relationship Id="rId4" Type="http://schemas.openxmlformats.org/officeDocument/2006/relationships/hyperlink" Target="https://practice.geeksforgeeks.org/problems/word-break1352/1" TargetMode="External"/><Relationship Id="rId9" Type="http://schemas.openxmlformats.org/officeDocument/2006/relationships/hyperlink" Target="https://leetcode.com/problems/word-search/" TargetMode="External"/><Relationship Id="rId5" Type="http://schemas.openxmlformats.org/officeDocument/2006/relationships/hyperlink" Target="https://practice.geeksforgeeks.org/problems/word-break-part-23249/1" TargetMode="External"/><Relationship Id="rId6" Type="http://schemas.openxmlformats.org/officeDocument/2006/relationships/hyperlink" Target="https://leetcode.com/problems/minimum-window-substring/" TargetMode="External"/><Relationship Id="rId7" Type="http://schemas.openxmlformats.org/officeDocument/2006/relationships/hyperlink" Target="https://leetcode.com/problems/single-number/" TargetMode="External"/><Relationship Id="rId8" Type="http://schemas.openxmlformats.org/officeDocument/2006/relationships/hyperlink" Target="https://leetcode.com/problems/3sum-smaller/" TargetMode="External"/><Relationship Id="rId11" Type="http://schemas.openxmlformats.org/officeDocument/2006/relationships/hyperlink" Target="https://leetcode.com/problems/remove-duplicates-from-sorted-list/" TargetMode="External"/><Relationship Id="rId10" Type="http://schemas.openxmlformats.org/officeDocument/2006/relationships/hyperlink" Target="https://leetcode.com/problems/linked-list-cycle/" TargetMode="External"/><Relationship Id="rId13" Type="http://schemas.openxmlformats.org/officeDocument/2006/relationships/hyperlink" Target="https://leetcode.com/problems/sqrtx/" TargetMode="External"/><Relationship Id="rId12" Type="http://schemas.openxmlformats.org/officeDocument/2006/relationships/hyperlink" Target="https://leetcode.com/problems/remove-duplicates-from-sorted-list-ii/" TargetMode="External"/><Relationship Id="rId15" Type="http://schemas.openxmlformats.org/officeDocument/2006/relationships/hyperlink" Target="https://leetcode.com/problems/using-a-robot-to-print-the-lexicographically-smallest-string/" TargetMode="External"/><Relationship Id="rId14" Type="http://schemas.openxmlformats.org/officeDocument/2006/relationships/hyperlink" Target="https://leetcode.com/problems/peak-index-in-a-mountain-array/" TargetMode="External"/><Relationship Id="rId17" Type="http://schemas.openxmlformats.org/officeDocument/2006/relationships/hyperlink" Target="https://leetcode.com/problems/text-justification/" TargetMode="External"/><Relationship Id="rId16" Type="http://schemas.openxmlformats.org/officeDocument/2006/relationships/hyperlink" Target="https://leetcode.com/problems/asteroid-collision/" TargetMode="External"/><Relationship Id="rId19" Type="http://schemas.openxmlformats.org/officeDocument/2006/relationships/drawing" Target="../drawings/drawing21.xml"/><Relationship Id="rId18" Type="http://schemas.openxmlformats.org/officeDocument/2006/relationships/hyperlink" Target="https://www.geeksforgeeks.org/maximum-path-sum-matrix/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ray-code/" TargetMode="External"/><Relationship Id="rId2" Type="http://schemas.openxmlformats.org/officeDocument/2006/relationships/hyperlink" Target="https://www.geeksforgeeks.org/implement-queue-using-two-stacks/" TargetMode="External"/><Relationship Id="rId3" Type="http://schemas.openxmlformats.org/officeDocument/2006/relationships/hyperlink" Target="https://www.geeksforgeeks.org/program-for-sum-of-digits-of-a-given-number/" TargetMode="External"/><Relationship Id="rId4" Type="http://schemas.openxmlformats.org/officeDocument/2006/relationships/hyperlink" Target="https://leetcode.com/problems/remove-duplicates-from-sorted-array/" TargetMode="External"/><Relationship Id="rId9" Type="http://schemas.openxmlformats.org/officeDocument/2006/relationships/hyperlink" Target="https://www.geeksforgeeks.org/puzzle-10-balls-in-5-lines/" TargetMode="External"/><Relationship Id="rId5" Type="http://schemas.openxmlformats.org/officeDocument/2006/relationships/hyperlink" Target="https://leetcode.com/problems/intersection-of-two-arrays/" TargetMode="External"/><Relationship Id="rId6" Type="http://schemas.openxmlformats.org/officeDocument/2006/relationships/hyperlink" Target="https://www.geeksforgeeks.org/gcd-of-more-than-two-or-array-numbers/" TargetMode="External"/><Relationship Id="rId7" Type="http://schemas.openxmlformats.org/officeDocument/2006/relationships/hyperlink" Target="https://leetcode.com/problems/gray-code/" TargetMode="External"/><Relationship Id="rId8" Type="http://schemas.openxmlformats.org/officeDocument/2006/relationships/hyperlink" Target="https://www.geeksforgeeks.org/print-trapezium-pattern/" TargetMode="External"/><Relationship Id="rId11" Type="http://schemas.openxmlformats.org/officeDocument/2006/relationships/drawing" Target="../drawings/drawing22.xml"/><Relationship Id="rId10" Type="http://schemas.openxmlformats.org/officeDocument/2006/relationships/hyperlink" Target="https://www.geeksforgeeks.org/reversing-a-queue-using-recursion/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number-of-nice-subarrays/" TargetMode="External"/><Relationship Id="rId2" Type="http://schemas.openxmlformats.org/officeDocument/2006/relationships/hyperlink" Target="https://leetcode.com/problems/frequency-of-the-most-frequent-element/" TargetMode="External"/><Relationship Id="rId3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jority-element/" TargetMode="External"/><Relationship Id="rId2" Type="http://schemas.openxmlformats.org/officeDocument/2006/relationships/hyperlink" Target="https://leetcode.com/problems/longest-substring-without-repeating-characters/" TargetMode="External"/><Relationship Id="rId3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anagram/" TargetMode="External"/><Relationship Id="rId2" Type="http://schemas.openxmlformats.org/officeDocument/2006/relationships/hyperlink" Target="https://leetcode.com/problems/group-anagrams/" TargetMode="External"/><Relationship Id="rId3" Type="http://schemas.openxmlformats.org/officeDocument/2006/relationships/hyperlink" Target="https://leetcode.com/problems/reverse-words-in-a-string/" TargetMode="External"/><Relationship Id="rId4" Type="http://schemas.openxmlformats.org/officeDocument/2006/relationships/hyperlink" Target="https://www.geeksforgeeks.org/stack-data-structure-introduction-program/" TargetMode="External"/><Relationship Id="rId5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problems/longest-subarray-with-sum-divisible-by-k1259/1" TargetMode="External"/><Relationship Id="rId2" Type="http://schemas.openxmlformats.org/officeDocument/2006/relationships/hyperlink" Target="https://leetcode.com/problems/remove-k-digits/description/" TargetMode="External"/><Relationship Id="rId3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problems/subarrays-with-sum-k/1" TargetMode="External"/><Relationship Id="rId2" Type="http://schemas.openxmlformats.org/officeDocument/2006/relationships/hyperlink" Target="https://leetcode.com/problems/insert-into-a-binary-search-tree/" TargetMode="External"/><Relationship Id="rId3" Type="http://schemas.openxmlformats.org/officeDocument/2006/relationships/hyperlink" Target="https://leetcode.com/problems/remove-duplicates-from-sorted-list-ii/" TargetMode="External"/><Relationship Id="rId4" Type="http://schemas.openxmlformats.org/officeDocument/2006/relationships/hyperlink" Target="https://www.geeksforgeeks.org/dsa/sieve-of-eratosthenes/" TargetMode="External"/><Relationship Id="rId5" Type="http://schemas.openxmlformats.org/officeDocument/2006/relationships/hyperlink" Target="https://leetcode.com/problems/restore-ip-addresses/" TargetMode="External"/><Relationship Id="rId6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earch-insert-position/" TargetMode="External"/><Relationship Id="rId2" Type="http://schemas.openxmlformats.org/officeDocument/2006/relationships/hyperlink" Target="https://leetcode.com/problems/top-k-frequent-elements/" TargetMode="External"/><Relationship Id="rId3" Type="http://schemas.openxmlformats.org/officeDocument/2006/relationships/hyperlink" Target="https://leetcode.com/problems/maximum-gap/" TargetMode="External"/><Relationship Id="rId4" Type="http://schemas.openxmlformats.org/officeDocument/2006/relationships/hyperlink" Target="https://leetcode.com/problems/coin-change/" TargetMode="External"/><Relationship Id="rId5" Type="http://schemas.openxmlformats.org/officeDocument/2006/relationships/hyperlink" Target="https://www.geeksforgeeks.org/count-ways-reach-nth-stair/" TargetMode="External"/><Relationship Id="rId6" Type="http://schemas.openxmlformats.org/officeDocument/2006/relationships/hyperlink" Target="https://www.geeksforgeeks.org/minimum-number-platforms-required-railwaybus-station/" TargetMode="External"/><Relationship Id="rId7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dsa/closest-pair-of-points-using-divide-and-conquer-algorithm/" TargetMode="External"/><Relationship Id="rId2" Type="http://schemas.openxmlformats.org/officeDocument/2006/relationships/hyperlink" Target="https://www.geeksforgeeks.org/dsa/missing-vertex-among-n-axis-parallel-rectangles/" TargetMode="External"/><Relationship Id="rId3" Type="http://schemas.openxmlformats.org/officeDocument/2006/relationships/hyperlink" Target="https://leetcode.com/problems/count-zero-request-servers/" TargetMode="External"/><Relationship Id="rId4" Type="http://schemas.openxmlformats.org/officeDocument/2006/relationships/hyperlink" Target="https://leetcode.com/problems/product-of-array-except-self/" TargetMode="External"/><Relationship Id="rId5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verse-linked-list/" TargetMode="External"/><Relationship Id="rId2" Type="http://schemas.openxmlformats.org/officeDocument/2006/relationships/hyperlink" Target="https://leetcode.com/problems/delete-node-in-a-bst/" TargetMode="External"/><Relationship Id="rId3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pecial-binary-string/" TargetMode="External"/><Relationship Id="rId2" Type="http://schemas.openxmlformats.org/officeDocument/2006/relationships/hyperlink" Target="https://leetcode.com/problems/reverse-nodes-in-k-group/" TargetMode="External"/><Relationship Id="rId3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lindrome/" TargetMode="External"/><Relationship Id="rId2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ort-list/" TargetMode="External"/><Relationship Id="rId2" Type="http://schemas.openxmlformats.org/officeDocument/2006/relationships/hyperlink" Target="https://leetcode.com/problems/merge-intervals/" TargetMode="External"/><Relationship Id="rId3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move-duplicates-from-sorted-array/" TargetMode="External"/><Relationship Id="rId2" Type="http://schemas.openxmlformats.org/officeDocument/2006/relationships/hyperlink" Target="https://leetcode.com/problems/symmetric-tree/" TargetMode="External"/><Relationship Id="rId3" Type="http://schemas.openxmlformats.org/officeDocument/2006/relationships/hyperlink" Target="https://leetcode.com/problems/two-sum/" TargetMode="External"/><Relationship Id="rId4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substring-without-repeating-characters/" TargetMode="External"/><Relationship Id="rId2" Type="http://schemas.openxmlformats.org/officeDocument/2006/relationships/hyperlink" Target="https://leetcode.com/problems/find-duplicate-subtrees/" TargetMode="External"/><Relationship Id="rId3" Type="http://schemas.openxmlformats.org/officeDocument/2006/relationships/hyperlink" Target="https://leetcode.com/problems/longest-harmonious-subsequence/" TargetMode="External"/><Relationship Id="rId4" Type="http://schemas.openxmlformats.org/officeDocument/2006/relationships/hyperlink" Target="https://leetcode.com/problems/same-tree/" TargetMode="External"/><Relationship Id="rId9" Type="http://schemas.openxmlformats.org/officeDocument/2006/relationships/hyperlink" Target="https://leetcode.com/problems/linked-list-cycle/" TargetMode="External"/><Relationship Id="rId5" Type="http://schemas.openxmlformats.org/officeDocument/2006/relationships/hyperlink" Target="https://leetcode.com/problems/implement-queue-using-stacks/" TargetMode="External"/><Relationship Id="rId6" Type="http://schemas.openxmlformats.org/officeDocument/2006/relationships/hyperlink" Target="https://leetcode.com/problems/linked-list-cycle/" TargetMode="External"/><Relationship Id="rId7" Type="http://schemas.openxmlformats.org/officeDocument/2006/relationships/hyperlink" Target="https://leetcode.com/problems/rotate-list/" TargetMode="External"/><Relationship Id="rId8" Type="http://schemas.openxmlformats.org/officeDocument/2006/relationships/hyperlink" Target="https://leetcode.com/problems/gas-station/" TargetMode="External"/><Relationship Id="rId11" Type="http://schemas.openxmlformats.org/officeDocument/2006/relationships/drawing" Target="../drawings/drawing55.xml"/><Relationship Id="rId10" Type="http://schemas.openxmlformats.org/officeDocument/2006/relationships/hyperlink" Target="https://leetcode.com/problems/linked-list-cycle-ii/" TargetMode="Externa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elements-with-maximum-frequency/" TargetMode="External"/><Relationship Id="rId2" Type="http://schemas.openxmlformats.org/officeDocument/2006/relationships/hyperlink" Target="https://www.geeksforgeeks.org/problems/odd-or-even3618/1" TargetMode="External"/><Relationship Id="rId3" Type="http://schemas.openxmlformats.org/officeDocument/2006/relationships/hyperlink" Target="https://www.geeksforgeeks.org/dsa/bitwise-recursive-addition-two-integers/" TargetMode="External"/><Relationship Id="rId4" Type="http://schemas.openxmlformats.org/officeDocument/2006/relationships/hyperlink" Target="https://leetcode.com/problems/validate-ip-address/description/" TargetMode="External"/><Relationship Id="rId5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ext-greater-element-i/?utm_source=chatgpt.com" TargetMode="External"/><Relationship Id="rId2" Type="http://schemas.openxmlformats.org/officeDocument/2006/relationships/hyperlink" Target="https://www.geeksforgeeks.org/problems/largest-subtree-sum-in-a-tree/1?utm_source=chatgpt.com" TargetMode="External"/><Relationship Id="rId3" Type="http://schemas.openxmlformats.org/officeDocument/2006/relationships/hyperlink" Target="https://leetcode.com/problems/binary-tree-zigzag-level-order-traversal/?utm_source=chatgpt.com" TargetMode="External"/><Relationship Id="rId4" Type="http://schemas.openxmlformats.org/officeDocument/2006/relationships/hyperlink" Target="https://leetcode.com/problems/next-greater-element-iii/?envId=two-pointers&amp;envType=problem-list-v2&amp;utm_source=chatgpt.com" TargetMode="External"/><Relationship Id="rId9" Type="http://schemas.openxmlformats.org/officeDocument/2006/relationships/hyperlink" Target="https://www.geeksforgeeks.org/check-if-the-given-push-and-pop-" TargetMode="External"/><Relationship Id="rId5" Type="http://schemas.openxmlformats.org/officeDocument/2006/relationships/hyperlink" Target="https://www.geeksforgeeks.org/dsa/maximum-sum-tree-adjacent-levels-not-allowed/?utm_source=chatgpt.com" TargetMode="External"/><Relationship Id="rId6" Type="http://schemas.openxmlformats.org/officeDocument/2006/relationships/hyperlink" Target="https://leetcode.com/problems/reverse-linked-list/?envId=5f6kgmnj&amp;envType=list&amp;utm_source=chatgpt.com" TargetMode="External"/><Relationship Id="rId7" Type="http://schemas.openxmlformats.org/officeDocument/2006/relationships/hyperlink" Target="https://leetcode.com/problems/intersection-of-two-linked-lists/solutions/?envType=problem-list-&amp;utm_source=chatgpt.com" TargetMode="External"/><Relationship Id="rId8" Type="http://schemas.openxmlformats.org/officeDocument/2006/relationships/hyperlink" Target="https://leetcode.com/problems/super-egg-drop/description/?envId=amazon&amp;envType=company&amp;favoriteSlug=amazon-all&amp;utm_source=chatgpt.com" TargetMode="External"/><Relationship Id="rId11" Type="http://schemas.openxmlformats.org/officeDocument/2006/relationships/drawing" Target="../drawings/drawing59.xml"/><Relationship Id="rId10" Type="http://schemas.openxmlformats.org/officeDocument/2006/relationships/hyperlink" Target="https://www.geeksforgeeks.org/print-alternate-nodes-from-all-" TargetMode="Externa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wildcard-matching/?utm_source=chatgpt.com" TargetMode="External"/><Relationship Id="rId2" Type="http://schemas.openxmlformats.org/officeDocument/2006/relationships/hyperlink" Target="https://www.geeksforgeeks.org/dsa/remove-duplicates-from-an-unsorted-array-using-set/?utm_source=chatgpt.com" TargetMode="External"/><Relationship Id="rId3" Type="http://schemas.openxmlformats.org/officeDocument/2006/relationships/hyperlink" Target="https://www.geeksforgeeks.org/dsa/find-second-largest-element-array/?utm_source=chatgpt.com" TargetMode="External"/><Relationship Id="rId4" Type="http://schemas.openxmlformats.org/officeDocument/2006/relationships/hyperlink" Target="https://leetcode.com/problems/course-schedule-ii/?utm_source=chatgpt.com" TargetMode="External"/><Relationship Id="rId9" Type="http://schemas.openxmlformats.org/officeDocument/2006/relationships/hyperlink" Target="https://leetcode.com/problems/permutations/?utm_source=chatgpt.com" TargetMode="External"/><Relationship Id="rId5" Type="http://schemas.openxmlformats.org/officeDocument/2006/relationships/hyperlink" Target="https://leetcode.com/problems/search-suggestions-system/?utm_source=chatgpt.com" TargetMode="External"/><Relationship Id="rId6" Type="http://schemas.openxmlformats.org/officeDocument/2006/relationships/hyperlink" Target="https://leetcode.com/problems/rotting-oranges/?utm_source=chatgpt.com" TargetMode="External"/><Relationship Id="rId7" Type="http://schemas.openxmlformats.org/officeDocument/2006/relationships/hyperlink" Target="https://leetcode.com/problems/min-stack/?utm_source=chatgpt.com" TargetMode="External"/><Relationship Id="rId8" Type="http://schemas.openxmlformats.org/officeDocument/2006/relationships/hyperlink" Target="https://leetcode.com/problems/missing-number/?utm_source=chatgpt.com" TargetMode="External"/><Relationship Id="rId11" Type="http://schemas.openxmlformats.org/officeDocument/2006/relationships/drawing" Target="../drawings/drawing60.xml"/><Relationship Id="rId10" Type="http://schemas.openxmlformats.org/officeDocument/2006/relationships/hyperlink" Target="https://leetcode.com/problems/reverse-words-in-a-string/?utm_source=chatgpt.com" TargetMode="Externa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problems/detect-cycle-in-an-undirected-graph/1" TargetMode="External"/><Relationship Id="rId2" Type="http://schemas.openxmlformats.org/officeDocument/2006/relationships/hyperlink" Target="https://leetcode.com/problems/missing-number/?utm_source=chatgpt.com" TargetMode="External"/><Relationship Id="rId3" Type="http://schemas.openxmlformats.org/officeDocument/2006/relationships/hyperlink" Target="https://leetcode.com/problems/trapping-rain-water/" TargetMode="External"/><Relationship Id="rId4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insertion-steps-to-make-a-string-palindrome/?utm_source=chatgpt.com" TargetMode="External"/><Relationship Id="rId2" Type="http://schemas.openxmlformats.org/officeDocument/2006/relationships/hyperlink" Target="https://www.geeksforgeeks.org/dsa/implement-two-stacks-in-an-array/?utm_source=chatgpt.com" TargetMode="External"/><Relationship Id="rId3" Type="http://schemas.openxmlformats.org/officeDocument/2006/relationships/hyperlink" Target="https://leetcode.com/problems/two-sum-ii-input-array-is-sorted/?utm_source=chatgpt.com" TargetMode="External"/><Relationship Id="rId4" Type="http://schemas.openxmlformats.org/officeDocument/2006/relationships/hyperlink" Target="https://leetcode.com/problems/reverse-integer/?utm_source=chatgpt.com" TargetMode="External"/><Relationship Id="rId9" Type="http://schemas.openxmlformats.org/officeDocument/2006/relationships/drawing" Target="../drawings/drawing65.xml"/><Relationship Id="rId5" Type="http://schemas.openxmlformats.org/officeDocument/2006/relationships/hyperlink" Target="https://leetcode.com/problems/reverse-linked-list/?utm_source=chatgpt.com" TargetMode="External"/><Relationship Id="rId6" Type="http://schemas.openxmlformats.org/officeDocument/2006/relationships/hyperlink" Target="https://leetcode.com/problems/numbers-with-same-consecutive-differences/?utm_source=chatgpt.com" TargetMode="External"/><Relationship Id="rId7" Type="http://schemas.openxmlformats.org/officeDocument/2006/relationships/hyperlink" Target="https://leetcode.com/problems/group-anagrams/?utm_source=chatgpt.com" TargetMode="External"/><Relationship Id="rId8" Type="http://schemas.openxmlformats.org/officeDocument/2006/relationships/hyperlink" Target="https://leetcode.com/problems/rotate-array/?utm_source=chatgpt.com" TargetMode="Externa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dsa/maximum-sum-rectangle-in-a-2d-matrix-dp-27/?utm_source=chatgpt.com" TargetMode="External"/><Relationship Id="rId2" Type="http://schemas.openxmlformats.org/officeDocument/2006/relationships/hyperlink" Target="https://leetcode.com/problems/minimum-depth-of-binary-tree/?utm_source=chatgpt.com" TargetMode="External"/><Relationship Id="rId3" Type="http://schemas.openxmlformats.org/officeDocument/2006/relationships/hyperlink" Target="https://leetcode.com/problems/coin-change/description/" TargetMode="External"/><Relationship Id="rId4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dsa/0-1-knapsack-problem-dp-10/?utm_source=chatgpt.com" TargetMode="External"/><Relationship Id="rId2" Type="http://schemas.openxmlformats.org/officeDocument/2006/relationships/hyperlink" Target="https://leetcode.com/problems/merge-two-sorted-lists/?utm_source=chatgpt.com" TargetMode="External"/><Relationship Id="rId3" Type="http://schemas.openxmlformats.org/officeDocument/2006/relationships/hyperlink" Target="https://leetcode.com/problems/power-of-two/?utm_source=chatgpt.com" TargetMode="External"/><Relationship Id="rId4" Type="http://schemas.openxmlformats.org/officeDocument/2006/relationships/hyperlink" Target="https://www.geeksforgeeks.org/dsa/boundary-traversal-of-binary-tree/?utm_source=chatgpt.com" TargetMode="External"/><Relationship Id="rId9" Type="http://schemas.openxmlformats.org/officeDocument/2006/relationships/hyperlink" Target="https://leetcode.com/problems/best-time-to-buy-and-sell-stock/?utm_source=chatgpt.com" TargetMode="External"/><Relationship Id="rId5" Type="http://schemas.openxmlformats.org/officeDocument/2006/relationships/hyperlink" Target="https://leetcode.com/problems/linked-list-cycle/?utm_source=chatgpt.com" TargetMode="External"/><Relationship Id="rId6" Type="http://schemas.openxmlformats.org/officeDocument/2006/relationships/hyperlink" Target="https://leetcode.com/problems/sort-colors/?utm_source=chatgpt.com" TargetMode="External"/><Relationship Id="rId7" Type="http://schemas.openxmlformats.org/officeDocument/2006/relationships/hyperlink" Target="https://leetcode.com/problems/majority-element/?utm_source=chatgpt.com" TargetMode="External"/><Relationship Id="rId8" Type="http://schemas.openxmlformats.org/officeDocument/2006/relationships/hyperlink" Target="https://www.geeksforgeeks.org/problems/floor-in-a-sorted-array-1587115620/1?utm_source=chatgpt.com" TargetMode="External"/><Relationship Id="rId11" Type="http://schemas.openxmlformats.org/officeDocument/2006/relationships/drawing" Target="../drawings/drawing68.xml"/><Relationship Id="rId10" Type="http://schemas.openxmlformats.org/officeDocument/2006/relationships/hyperlink" Target="https://leetcode.com/problems/binary-search/?utm_source=chatgpt.com" TargetMode="Externa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2</v>
      </c>
      <c r="F1" s="1" t="s">
        <v>4</v>
      </c>
      <c r="G1" s="1" t="s">
        <v>8</v>
      </c>
      <c r="H1" s="1"/>
    </row>
    <row r="2">
      <c r="A2" s="2">
        <v>1.0</v>
      </c>
      <c r="B2" s="1" t="s">
        <v>9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/>
    </row>
    <row r="3">
      <c r="A3" s="2">
        <v>2.0</v>
      </c>
      <c r="B3" s="1" t="s">
        <v>18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/>
    </row>
    <row r="4">
      <c r="A4" s="2">
        <v>3.0</v>
      </c>
      <c r="B4" s="1" t="s">
        <v>19</v>
      </c>
      <c r="C4" s="1" t="s">
        <v>20</v>
      </c>
      <c r="D4" s="1" t="s">
        <v>12</v>
      </c>
      <c r="E4" s="1" t="s">
        <v>21</v>
      </c>
      <c r="F4" s="1" t="s">
        <v>14</v>
      </c>
      <c r="G4" s="1" t="s">
        <v>15</v>
      </c>
      <c r="H4" s="1"/>
    </row>
    <row r="5">
      <c r="A5" s="2">
        <v>4.0</v>
      </c>
      <c r="B5" s="1" t="s">
        <v>22</v>
      </c>
      <c r="C5" s="1" t="s">
        <v>23</v>
      </c>
      <c r="D5" s="1" t="s">
        <v>12</v>
      </c>
      <c r="E5" s="1" t="s">
        <v>21</v>
      </c>
      <c r="F5" s="1" t="s">
        <v>14</v>
      </c>
      <c r="G5" s="1" t="s">
        <v>15</v>
      </c>
      <c r="H5" s="1"/>
    </row>
    <row r="6">
      <c r="A6" s="2">
        <v>5.0</v>
      </c>
      <c r="B6" s="1" t="s">
        <v>24</v>
      </c>
      <c r="C6" s="1" t="s">
        <v>25</v>
      </c>
      <c r="D6" s="1" t="s">
        <v>12</v>
      </c>
      <c r="E6" s="1" t="s">
        <v>26</v>
      </c>
      <c r="F6" s="1" t="s">
        <v>27</v>
      </c>
      <c r="G6" s="1" t="s">
        <v>15</v>
      </c>
      <c r="H6" s="1"/>
    </row>
    <row r="7">
      <c r="A7" s="2">
        <v>6.0</v>
      </c>
      <c r="B7" s="1" t="s">
        <v>28</v>
      </c>
      <c r="C7" s="1" t="s">
        <v>29</v>
      </c>
      <c r="D7" s="1" t="s">
        <v>12</v>
      </c>
      <c r="E7" s="1" t="s">
        <v>30</v>
      </c>
      <c r="F7" s="1" t="s">
        <v>27</v>
      </c>
      <c r="G7" s="1" t="s">
        <v>15</v>
      </c>
      <c r="H7" s="1"/>
    </row>
    <row r="8">
      <c r="A8" s="2">
        <v>7.0</v>
      </c>
      <c r="B8" s="1" t="s">
        <v>34</v>
      </c>
      <c r="C8" s="1" t="s">
        <v>35</v>
      </c>
      <c r="D8" s="1" t="s">
        <v>12</v>
      </c>
      <c r="E8" s="1" t="s">
        <v>13</v>
      </c>
      <c r="F8" s="1" t="s">
        <v>27</v>
      </c>
      <c r="G8" s="1" t="s">
        <v>15</v>
      </c>
      <c r="H8" s="1"/>
    </row>
    <row r="9">
      <c r="A9" s="2">
        <v>8.0</v>
      </c>
      <c r="B9" s="1" t="s">
        <v>36</v>
      </c>
      <c r="C9" s="1" t="s">
        <v>37</v>
      </c>
      <c r="D9" s="1" t="s">
        <v>12</v>
      </c>
      <c r="E9" s="1" t="s">
        <v>13</v>
      </c>
      <c r="F9" s="1" t="s">
        <v>27</v>
      </c>
      <c r="G9" s="1" t="s">
        <v>15</v>
      </c>
      <c r="H9" s="1"/>
    </row>
    <row r="10">
      <c r="A10" s="2">
        <v>9.0</v>
      </c>
      <c r="B10" s="1" t="s">
        <v>38</v>
      </c>
      <c r="C10" s="1" t="s">
        <v>39</v>
      </c>
      <c r="D10" s="1" t="s">
        <v>12</v>
      </c>
      <c r="E10" s="1" t="s">
        <v>30</v>
      </c>
      <c r="F10" s="1" t="s">
        <v>27</v>
      </c>
      <c r="G10" s="1" t="s">
        <v>15</v>
      </c>
      <c r="H10" s="1"/>
    </row>
    <row r="11">
      <c r="A11" s="2">
        <v>10.0</v>
      </c>
      <c r="B11" s="1" t="s">
        <v>40</v>
      </c>
      <c r="C11" s="1" t="s">
        <v>41</v>
      </c>
      <c r="D11" s="1" t="s">
        <v>12</v>
      </c>
      <c r="E11" s="1" t="s">
        <v>13</v>
      </c>
      <c r="F11" s="1" t="s">
        <v>27</v>
      </c>
      <c r="G11" s="1" t="s">
        <v>15</v>
      </c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>
        <v>1.0</v>
      </c>
      <c r="B2" s="1" t="s">
        <v>10</v>
      </c>
      <c r="C2" s="1" t="s">
        <v>30</v>
      </c>
      <c r="D2" s="5" t="s">
        <v>33</v>
      </c>
      <c r="E2" s="1" t="s">
        <v>14</v>
      </c>
      <c r="F2" s="2">
        <v>2021.0</v>
      </c>
    </row>
    <row r="3">
      <c r="A3" s="3">
        <v>2.0</v>
      </c>
      <c r="B3" s="1" t="s">
        <v>46</v>
      </c>
      <c r="C3" s="1" t="s">
        <v>30</v>
      </c>
      <c r="D3" s="5" t="s">
        <v>48</v>
      </c>
      <c r="E3" s="1" t="s">
        <v>43</v>
      </c>
      <c r="F3" s="2">
        <v>2021.0</v>
      </c>
    </row>
    <row r="4">
      <c r="A4" s="3">
        <v>3.0</v>
      </c>
      <c r="B4" s="1" t="s">
        <v>53</v>
      </c>
      <c r="C4" s="1" t="s">
        <v>30</v>
      </c>
      <c r="D4" s="5" t="s">
        <v>54</v>
      </c>
      <c r="E4" s="1" t="s">
        <v>43</v>
      </c>
      <c r="F4" s="2">
        <v>2021.0</v>
      </c>
    </row>
    <row r="5">
      <c r="A5" s="3">
        <v>4.0</v>
      </c>
      <c r="B5" s="1" t="s">
        <v>63</v>
      </c>
      <c r="C5" s="1" t="s">
        <v>21</v>
      </c>
      <c r="D5" s="5" t="s">
        <v>64</v>
      </c>
      <c r="E5" s="1" t="s">
        <v>43</v>
      </c>
      <c r="F5" s="2">
        <v>2021.0</v>
      </c>
    </row>
    <row r="6">
      <c r="A6" s="3">
        <v>5.0</v>
      </c>
      <c r="B6" s="1" t="s">
        <v>68</v>
      </c>
      <c r="C6" s="1" t="s">
        <v>13</v>
      </c>
      <c r="D6" s="5" t="s">
        <v>70</v>
      </c>
      <c r="E6" s="1" t="s">
        <v>43</v>
      </c>
      <c r="F6" s="2">
        <v>2021.0</v>
      </c>
    </row>
    <row r="7">
      <c r="A7" s="3">
        <v>6.0</v>
      </c>
      <c r="B7" s="1" t="s">
        <v>73</v>
      </c>
      <c r="C7" s="1" t="s">
        <v>13</v>
      </c>
      <c r="D7" s="5" t="s">
        <v>74</v>
      </c>
      <c r="E7" s="1" t="s">
        <v>43</v>
      </c>
      <c r="F7" s="2">
        <v>2021.0</v>
      </c>
    </row>
    <row r="8">
      <c r="A8" s="3">
        <v>7.0</v>
      </c>
      <c r="B8" s="1" t="s">
        <v>79</v>
      </c>
      <c r="C8" s="1" t="s">
        <v>13</v>
      </c>
      <c r="D8" s="5" t="s">
        <v>80</v>
      </c>
      <c r="E8" s="1" t="s">
        <v>83</v>
      </c>
      <c r="F8" s="2">
        <v>2021.0</v>
      </c>
    </row>
  </sheetData>
  <dataValidations>
    <dataValidation type="list" allowBlank="1" showErrorMessage="1" sqref="C2:C8">
      <formula1>"Easy,Medium,Hard"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1.0</v>
      </c>
      <c r="B2" s="1" t="s">
        <v>16</v>
      </c>
      <c r="C2" s="1" t="s">
        <v>30</v>
      </c>
      <c r="D2" s="5" t="s">
        <v>32</v>
      </c>
      <c r="E2" s="1" t="s">
        <v>43</v>
      </c>
      <c r="F2" s="2">
        <v>2021.0</v>
      </c>
    </row>
    <row r="3">
      <c r="A3" s="4">
        <v>2.0</v>
      </c>
      <c r="B3" s="1" t="s">
        <v>45</v>
      </c>
      <c r="C3" s="1" t="s">
        <v>13</v>
      </c>
      <c r="D3" s="5" t="s">
        <v>47</v>
      </c>
      <c r="E3" s="1" t="s">
        <v>43</v>
      </c>
      <c r="F3" s="2">
        <v>2021.0</v>
      </c>
    </row>
    <row r="4">
      <c r="A4" s="4">
        <v>3.0</v>
      </c>
      <c r="B4" s="1" t="s">
        <v>50</v>
      </c>
      <c r="C4" s="1" t="s">
        <v>13</v>
      </c>
      <c r="D4" s="5" t="s">
        <v>51</v>
      </c>
      <c r="E4" s="1" t="s">
        <v>43</v>
      </c>
      <c r="F4" s="2">
        <v>2021.0</v>
      </c>
    </row>
    <row r="5">
      <c r="A5" s="4">
        <v>4.0</v>
      </c>
      <c r="B5" s="1" t="s">
        <v>57</v>
      </c>
      <c r="C5" s="1" t="s">
        <v>13</v>
      </c>
      <c r="D5" s="5" t="s">
        <v>58</v>
      </c>
      <c r="E5" s="1" t="s">
        <v>43</v>
      </c>
      <c r="F5" s="2">
        <v>2021.0</v>
      </c>
    </row>
    <row r="6">
      <c r="A6" s="4">
        <v>5.0</v>
      </c>
      <c r="B6" s="1" t="s">
        <v>59</v>
      </c>
      <c r="C6" s="1" t="s">
        <v>30</v>
      </c>
      <c r="D6" s="5" t="s">
        <v>61</v>
      </c>
      <c r="E6" s="1" t="s">
        <v>43</v>
      </c>
      <c r="F6" s="2">
        <v>2021.0</v>
      </c>
    </row>
  </sheetData>
  <dataValidations>
    <dataValidation type="list" allowBlank="1" showErrorMessage="1" sqref="C2:C6">
      <formula1>"Easy,Medium,Hard"</formula1>
    </dataValidation>
  </dataValidations>
  <hyperlinks>
    <hyperlink r:id="rId1" ref="D2"/>
    <hyperlink r:id="rId2" ref="D3"/>
    <hyperlink r:id="rId3" ref="D4"/>
    <hyperlink r:id="rId4" ref="D5"/>
    <hyperlink r:id="rId5" ref="D6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1.0</v>
      </c>
      <c r="B2" s="1" t="s">
        <v>17</v>
      </c>
      <c r="C2" s="1" t="s">
        <v>21</v>
      </c>
      <c r="D2" s="5" t="s">
        <v>31</v>
      </c>
      <c r="E2" s="1" t="s">
        <v>14</v>
      </c>
      <c r="F2" s="2">
        <v>2021.0</v>
      </c>
    </row>
    <row r="3">
      <c r="A3" s="4">
        <v>2.0</v>
      </c>
      <c r="B3" s="1" t="s">
        <v>42</v>
      </c>
      <c r="C3" s="1" t="s">
        <v>13</v>
      </c>
      <c r="D3" s="5" t="s">
        <v>44</v>
      </c>
      <c r="E3" s="1" t="s">
        <v>14</v>
      </c>
      <c r="F3" s="2">
        <v>2021.0</v>
      </c>
    </row>
    <row r="4">
      <c r="A4" s="4">
        <v>3.0</v>
      </c>
      <c r="B4" s="1" t="s">
        <v>49</v>
      </c>
      <c r="C4" s="1" t="s">
        <v>13</v>
      </c>
      <c r="D4" s="5" t="s">
        <v>52</v>
      </c>
      <c r="E4" s="1" t="s">
        <v>14</v>
      </c>
      <c r="F4" s="2">
        <v>2021.0</v>
      </c>
    </row>
    <row r="5">
      <c r="A5" s="4">
        <v>4.0</v>
      </c>
      <c r="B5" s="1" t="s">
        <v>55</v>
      </c>
      <c r="C5" s="1" t="s">
        <v>13</v>
      </c>
      <c r="D5" s="5" t="s">
        <v>56</v>
      </c>
      <c r="E5" s="1" t="s">
        <v>14</v>
      </c>
      <c r="F5" s="2">
        <v>2021.0</v>
      </c>
    </row>
    <row r="6">
      <c r="A6" s="4">
        <v>5.0</v>
      </c>
      <c r="B6" s="1" t="s">
        <v>60</v>
      </c>
      <c r="C6" s="1" t="s">
        <v>13</v>
      </c>
      <c r="D6" s="5" t="s">
        <v>62</v>
      </c>
      <c r="E6" s="1" t="s">
        <v>14</v>
      </c>
      <c r="F6" s="2">
        <v>2021.0</v>
      </c>
    </row>
    <row r="7">
      <c r="A7" s="4">
        <v>6.0</v>
      </c>
      <c r="B7" s="1" t="s">
        <v>65</v>
      </c>
      <c r="C7" s="1" t="s">
        <v>30</v>
      </c>
      <c r="D7" s="5" t="s">
        <v>66</v>
      </c>
      <c r="E7" s="1" t="s">
        <v>43</v>
      </c>
      <c r="F7" s="2">
        <v>2021.0</v>
      </c>
    </row>
    <row r="8">
      <c r="A8" s="4">
        <v>7.0</v>
      </c>
      <c r="B8" s="1" t="s">
        <v>67</v>
      </c>
      <c r="C8" s="1" t="s">
        <v>13</v>
      </c>
      <c r="D8" s="5" t="s">
        <v>69</v>
      </c>
      <c r="E8" s="1" t="s">
        <v>43</v>
      </c>
      <c r="F8" s="2">
        <v>2021.0</v>
      </c>
    </row>
    <row r="9">
      <c r="A9" s="4">
        <v>8.0</v>
      </c>
      <c r="B9" s="1" t="s">
        <v>71</v>
      </c>
      <c r="C9" s="1" t="s">
        <v>13</v>
      </c>
      <c r="D9" s="5" t="s">
        <v>72</v>
      </c>
      <c r="E9" s="1" t="s">
        <v>43</v>
      </c>
      <c r="F9" s="2">
        <v>2021.0</v>
      </c>
    </row>
    <row r="10">
      <c r="A10" s="4">
        <v>9.0</v>
      </c>
      <c r="B10" s="1" t="s">
        <v>75</v>
      </c>
      <c r="C10" s="1" t="s">
        <v>30</v>
      </c>
      <c r="D10" s="5" t="s">
        <v>76</v>
      </c>
      <c r="E10" s="1" t="s">
        <v>43</v>
      </c>
      <c r="F10" s="2">
        <v>2021.0</v>
      </c>
    </row>
    <row r="11">
      <c r="A11" s="4">
        <v>10.0</v>
      </c>
      <c r="B11" s="1" t="s">
        <v>77</v>
      </c>
      <c r="C11" s="1" t="s">
        <v>13</v>
      </c>
      <c r="D11" s="5" t="s">
        <v>78</v>
      </c>
      <c r="E11" s="1" t="s">
        <v>43</v>
      </c>
      <c r="F11" s="2">
        <v>2021.0</v>
      </c>
    </row>
    <row r="12">
      <c r="A12" s="4">
        <v>11.0</v>
      </c>
      <c r="B12" s="1" t="s">
        <v>81</v>
      </c>
      <c r="C12" s="1" t="s">
        <v>30</v>
      </c>
      <c r="D12" s="5" t="s">
        <v>82</v>
      </c>
      <c r="E12" s="1" t="s">
        <v>43</v>
      </c>
      <c r="F12" s="2">
        <v>2021.0</v>
      </c>
    </row>
    <row r="13">
      <c r="A13" s="4">
        <v>12.0</v>
      </c>
      <c r="B13" s="1" t="s">
        <v>84</v>
      </c>
      <c r="C13" s="1" t="s">
        <v>13</v>
      </c>
      <c r="D13" s="5" t="s">
        <v>85</v>
      </c>
      <c r="E13" s="1" t="s">
        <v>14</v>
      </c>
      <c r="F13" s="2">
        <v>2024.0</v>
      </c>
    </row>
    <row r="14">
      <c r="A14" s="4">
        <v>13.0</v>
      </c>
      <c r="B14" s="1" t="s">
        <v>86</v>
      </c>
      <c r="C14" s="1" t="s">
        <v>13</v>
      </c>
      <c r="D14" s="5" t="s">
        <v>87</v>
      </c>
      <c r="E14" s="1" t="s">
        <v>14</v>
      </c>
      <c r="F14" s="2">
        <v>2024.0</v>
      </c>
    </row>
    <row r="15">
      <c r="A15" s="4">
        <v>14.0</v>
      </c>
      <c r="B15" s="1" t="s">
        <v>88</v>
      </c>
      <c r="C15" s="1" t="s">
        <v>13</v>
      </c>
      <c r="D15" s="5" t="s">
        <v>89</v>
      </c>
      <c r="E15" s="1" t="s">
        <v>43</v>
      </c>
      <c r="F15" s="2">
        <v>2024.0</v>
      </c>
    </row>
    <row r="16">
      <c r="A16" s="4">
        <v>15.0</v>
      </c>
      <c r="B16" s="1" t="s">
        <v>90</v>
      </c>
      <c r="C16" s="1" t="s">
        <v>13</v>
      </c>
      <c r="D16" s="5" t="s">
        <v>91</v>
      </c>
      <c r="E16" s="1" t="s">
        <v>43</v>
      </c>
      <c r="F16" s="2">
        <v>2024.0</v>
      </c>
    </row>
    <row r="17">
      <c r="A17" s="4">
        <v>16.0</v>
      </c>
      <c r="B17" s="1" t="s">
        <v>92</v>
      </c>
      <c r="C17" s="1" t="s">
        <v>30</v>
      </c>
      <c r="D17" s="5" t="s">
        <v>93</v>
      </c>
      <c r="E17" s="1" t="s">
        <v>43</v>
      </c>
      <c r="F17" s="2">
        <v>2025.0</v>
      </c>
    </row>
    <row r="18">
      <c r="A18" s="4">
        <v>17.0</v>
      </c>
      <c r="B18" s="1" t="s">
        <v>94</v>
      </c>
      <c r="C18" s="1" t="s">
        <v>30</v>
      </c>
      <c r="D18" s="5" t="s">
        <v>95</v>
      </c>
      <c r="E18" s="1" t="s">
        <v>43</v>
      </c>
      <c r="F18" s="2">
        <v>2025.0</v>
      </c>
    </row>
    <row r="19">
      <c r="A19" s="4">
        <v>18.0</v>
      </c>
      <c r="B19" s="6" t="s">
        <v>96</v>
      </c>
      <c r="C19" s="1" t="s">
        <v>30</v>
      </c>
      <c r="D19" s="5" t="s">
        <v>97</v>
      </c>
      <c r="E19" s="1" t="s">
        <v>43</v>
      </c>
      <c r="F19" s="2">
        <v>2025.0</v>
      </c>
    </row>
    <row r="20">
      <c r="A20" s="4">
        <v>19.0</v>
      </c>
      <c r="B20" s="1" t="s">
        <v>98</v>
      </c>
      <c r="C20" s="1" t="s">
        <v>30</v>
      </c>
      <c r="D20" s="5" t="s">
        <v>99</v>
      </c>
      <c r="E20" s="1" t="s">
        <v>43</v>
      </c>
      <c r="F20" s="2">
        <v>2025.0</v>
      </c>
    </row>
    <row r="21">
      <c r="A21" s="4">
        <v>20.0</v>
      </c>
      <c r="B21" s="1" t="s">
        <v>100</v>
      </c>
      <c r="C21" s="1" t="s">
        <v>30</v>
      </c>
      <c r="D21" s="5" t="s">
        <v>101</v>
      </c>
      <c r="E21" s="1" t="s">
        <v>43</v>
      </c>
      <c r="F21" s="2">
        <v>2025.0</v>
      </c>
    </row>
    <row r="22">
      <c r="A22" s="4">
        <v>21.0</v>
      </c>
      <c r="B22" s="1" t="s">
        <v>102</v>
      </c>
      <c r="C22" s="1" t="s">
        <v>21</v>
      </c>
      <c r="D22" s="5" t="s">
        <v>103</v>
      </c>
      <c r="E22" s="1" t="s">
        <v>14</v>
      </c>
      <c r="F22" s="2">
        <v>2026.0</v>
      </c>
    </row>
    <row r="23">
      <c r="A23" s="4">
        <v>22.0</v>
      </c>
      <c r="B23" s="1" t="s">
        <v>104</v>
      </c>
      <c r="C23" s="1" t="s">
        <v>21</v>
      </c>
      <c r="D23" s="5" t="s">
        <v>105</v>
      </c>
      <c r="E23" s="1" t="s">
        <v>14</v>
      </c>
      <c r="F23" s="2">
        <v>2026.0</v>
      </c>
    </row>
    <row r="24">
      <c r="A24" s="4">
        <v>23.0</v>
      </c>
      <c r="B24" s="1" t="s">
        <v>106</v>
      </c>
      <c r="C24" s="1" t="s">
        <v>30</v>
      </c>
      <c r="D24" s="5" t="s">
        <v>107</v>
      </c>
      <c r="E24" s="1" t="s">
        <v>43</v>
      </c>
      <c r="F24" s="2">
        <v>2026.0</v>
      </c>
    </row>
    <row r="25">
      <c r="A25" s="4">
        <v>24.0</v>
      </c>
      <c r="B25" s="1" t="s">
        <v>109</v>
      </c>
      <c r="C25" s="1" t="s">
        <v>30</v>
      </c>
      <c r="D25" s="5" t="s">
        <v>110</v>
      </c>
      <c r="E25" s="1" t="s">
        <v>43</v>
      </c>
      <c r="F25" s="2">
        <v>2026.0</v>
      </c>
    </row>
    <row r="26">
      <c r="A26" s="4">
        <v>25.0</v>
      </c>
      <c r="B26" s="1" t="s">
        <v>112</v>
      </c>
      <c r="C26" s="1" t="s">
        <v>13</v>
      </c>
      <c r="D26" s="5" t="s">
        <v>113</v>
      </c>
      <c r="E26" s="1" t="s">
        <v>43</v>
      </c>
      <c r="F26" s="2">
        <v>2026.0</v>
      </c>
    </row>
    <row r="27">
      <c r="A27" s="4">
        <v>26.0</v>
      </c>
      <c r="B27" s="1" t="s">
        <v>114</v>
      </c>
      <c r="C27" s="1" t="s">
        <v>13</v>
      </c>
      <c r="D27" s="5" t="s">
        <v>116</v>
      </c>
      <c r="E27" s="1" t="s">
        <v>43</v>
      </c>
      <c r="F27" s="2">
        <v>2026.0</v>
      </c>
    </row>
    <row r="28">
      <c r="A28" s="4">
        <v>27.0</v>
      </c>
      <c r="B28" s="1" t="s">
        <v>118</v>
      </c>
      <c r="C28" s="1" t="s">
        <v>21</v>
      </c>
      <c r="D28" s="5" t="s">
        <v>120</v>
      </c>
      <c r="E28" s="1" t="s">
        <v>43</v>
      </c>
      <c r="F28" s="2">
        <v>2026.0</v>
      </c>
    </row>
    <row r="29">
      <c r="A29" s="4">
        <v>28.0</v>
      </c>
      <c r="B29" s="1" t="s">
        <v>123</v>
      </c>
      <c r="C29" s="1" t="s">
        <v>13</v>
      </c>
      <c r="D29" s="5" t="s">
        <v>125</v>
      </c>
      <c r="E29" s="1" t="s">
        <v>43</v>
      </c>
      <c r="F29" s="2">
        <v>2026.0</v>
      </c>
    </row>
    <row r="30">
      <c r="A30" s="4">
        <v>29.0</v>
      </c>
      <c r="B30" s="1" t="s">
        <v>127</v>
      </c>
      <c r="C30" s="1" t="s">
        <v>21</v>
      </c>
      <c r="D30" s="5" t="s">
        <v>129</v>
      </c>
      <c r="E30" s="1" t="s">
        <v>43</v>
      </c>
      <c r="F30" s="2">
        <v>2026.0</v>
      </c>
    </row>
    <row r="31">
      <c r="A31" s="4">
        <v>30.0</v>
      </c>
      <c r="B31" s="1" t="s">
        <v>131</v>
      </c>
      <c r="C31" s="1" t="s">
        <v>30</v>
      </c>
      <c r="D31" s="5" t="s">
        <v>133</v>
      </c>
      <c r="E31" s="1" t="s">
        <v>43</v>
      </c>
      <c r="F31" s="2">
        <v>2026.0</v>
      </c>
    </row>
    <row r="32">
      <c r="A32" s="4">
        <v>31.0</v>
      </c>
      <c r="B32" s="1" t="s">
        <v>134</v>
      </c>
      <c r="C32" s="1" t="s">
        <v>21</v>
      </c>
      <c r="D32" s="5" t="s">
        <v>135</v>
      </c>
      <c r="E32" s="1" t="s">
        <v>43</v>
      </c>
      <c r="F32" s="2">
        <v>2026.0</v>
      </c>
    </row>
    <row r="33">
      <c r="A33" s="4">
        <v>32.0</v>
      </c>
      <c r="B33" s="1" t="s">
        <v>138</v>
      </c>
      <c r="C33" s="1" t="s">
        <v>13</v>
      </c>
      <c r="D33" s="5" t="s">
        <v>139</v>
      </c>
      <c r="E33" s="1" t="s">
        <v>43</v>
      </c>
      <c r="F33" s="2">
        <v>2026.0</v>
      </c>
    </row>
    <row r="34">
      <c r="A34" s="4">
        <v>33.0</v>
      </c>
      <c r="B34" s="1" t="s">
        <v>142</v>
      </c>
      <c r="C34" s="1" t="s">
        <v>13</v>
      </c>
      <c r="D34" s="5" t="s">
        <v>143</v>
      </c>
      <c r="E34" s="1" t="s">
        <v>43</v>
      </c>
      <c r="F34" s="2">
        <v>2026.0</v>
      </c>
    </row>
    <row r="35">
      <c r="A35" s="4">
        <v>34.0</v>
      </c>
      <c r="B35" s="1" t="s">
        <v>146</v>
      </c>
      <c r="C35" s="1" t="s">
        <v>30</v>
      </c>
      <c r="D35" s="5" t="s">
        <v>147</v>
      </c>
      <c r="E35" s="1" t="s">
        <v>43</v>
      </c>
      <c r="F35" s="2">
        <v>2026.0</v>
      </c>
    </row>
  </sheetData>
  <dataValidations>
    <dataValidation type="list" allowBlank="1" showErrorMessage="1" sqref="C2:C35">
      <formula1>"Easy,Medium,Hard"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</hyperlinks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1.0</v>
      </c>
      <c r="B2" s="1" t="s">
        <v>108</v>
      </c>
      <c r="C2" s="1" t="s">
        <v>13</v>
      </c>
      <c r="D2" s="5" t="s">
        <v>111</v>
      </c>
      <c r="E2" s="1" t="s">
        <v>14</v>
      </c>
      <c r="F2" s="2">
        <v>2026.0</v>
      </c>
    </row>
    <row r="3">
      <c r="A3" s="4">
        <v>2.0</v>
      </c>
      <c r="B3" s="6" t="s">
        <v>115</v>
      </c>
      <c r="C3" s="1" t="s">
        <v>13</v>
      </c>
      <c r="D3" s="5" t="s">
        <v>117</v>
      </c>
      <c r="E3" s="1" t="s">
        <v>14</v>
      </c>
      <c r="F3" s="2">
        <v>2026.0</v>
      </c>
    </row>
    <row r="4">
      <c r="A4" s="4">
        <v>3.0</v>
      </c>
      <c r="B4" s="1" t="s">
        <v>119</v>
      </c>
      <c r="C4" s="1" t="s">
        <v>30</v>
      </c>
      <c r="D4" s="5" t="s">
        <v>121</v>
      </c>
      <c r="E4" s="1" t="s">
        <v>43</v>
      </c>
      <c r="F4" s="2">
        <v>2026.0</v>
      </c>
    </row>
    <row r="5">
      <c r="A5" s="4">
        <v>4.0</v>
      </c>
      <c r="B5" s="1" t="s">
        <v>122</v>
      </c>
      <c r="C5" s="1" t="s">
        <v>13</v>
      </c>
      <c r="D5" s="5" t="s">
        <v>124</v>
      </c>
      <c r="E5" s="1" t="s">
        <v>14</v>
      </c>
      <c r="F5" s="2">
        <v>2027.0</v>
      </c>
    </row>
    <row r="6">
      <c r="A6" s="4">
        <v>5.0</v>
      </c>
      <c r="B6" s="1" t="s">
        <v>126</v>
      </c>
      <c r="C6" s="1" t="s">
        <v>13</v>
      </c>
      <c r="D6" s="5" t="s">
        <v>128</v>
      </c>
      <c r="E6" s="1" t="s">
        <v>14</v>
      </c>
      <c r="F6" s="2">
        <v>2027.0</v>
      </c>
    </row>
    <row r="7">
      <c r="A7" s="4">
        <v>6.0</v>
      </c>
      <c r="B7" s="6" t="s">
        <v>130</v>
      </c>
      <c r="C7" s="1" t="s">
        <v>13</v>
      </c>
      <c r="D7" s="5" t="s">
        <v>132</v>
      </c>
      <c r="E7" s="1" t="s">
        <v>14</v>
      </c>
      <c r="F7" s="2">
        <v>2027.0</v>
      </c>
    </row>
    <row r="8">
      <c r="A8" s="4">
        <v>7.0</v>
      </c>
      <c r="B8" s="6" t="s">
        <v>136</v>
      </c>
      <c r="C8" s="1" t="s">
        <v>13</v>
      </c>
      <c r="D8" s="5" t="s">
        <v>137</v>
      </c>
      <c r="E8" s="1" t="s">
        <v>43</v>
      </c>
      <c r="F8" s="2">
        <v>2027.0</v>
      </c>
    </row>
    <row r="9">
      <c r="A9" s="4">
        <v>8.0</v>
      </c>
      <c r="B9" s="1" t="s">
        <v>140</v>
      </c>
      <c r="C9" s="1" t="s">
        <v>13</v>
      </c>
      <c r="D9" s="5" t="s">
        <v>141</v>
      </c>
      <c r="E9" s="1" t="s">
        <v>14</v>
      </c>
      <c r="F9" s="2">
        <v>2028.0</v>
      </c>
    </row>
    <row r="10">
      <c r="A10" s="4">
        <v>9.0</v>
      </c>
      <c r="B10" s="1" t="s">
        <v>144</v>
      </c>
      <c r="C10" s="1" t="s">
        <v>13</v>
      </c>
      <c r="D10" s="5" t="s">
        <v>145</v>
      </c>
      <c r="E10" s="1" t="s">
        <v>14</v>
      </c>
      <c r="F10" s="2">
        <v>2028.0</v>
      </c>
    </row>
    <row r="11">
      <c r="A11" s="4">
        <v>10.0</v>
      </c>
      <c r="B11" s="6" t="s">
        <v>148</v>
      </c>
      <c r="C11" s="1" t="s">
        <v>13</v>
      </c>
      <c r="D11" s="5" t="s">
        <v>149</v>
      </c>
      <c r="E11" s="1" t="s">
        <v>14</v>
      </c>
      <c r="F11" s="7" t="s">
        <v>150</v>
      </c>
    </row>
    <row r="12">
      <c r="A12" s="4">
        <v>11.0</v>
      </c>
      <c r="B12" s="1" t="s">
        <v>151</v>
      </c>
      <c r="C12" s="1" t="s">
        <v>13</v>
      </c>
      <c r="D12" s="5" t="s">
        <v>152</v>
      </c>
      <c r="E12" s="1" t="s">
        <v>43</v>
      </c>
      <c r="F12" s="2">
        <v>2028.0</v>
      </c>
    </row>
    <row r="13">
      <c r="A13" s="4">
        <v>12.0</v>
      </c>
      <c r="B13" s="6" t="s">
        <v>153</v>
      </c>
      <c r="C13" s="1" t="s">
        <v>13</v>
      </c>
      <c r="D13" s="5" t="s">
        <v>154</v>
      </c>
      <c r="E13" s="1" t="s">
        <v>43</v>
      </c>
      <c r="F13" s="2">
        <v>2028.0</v>
      </c>
    </row>
  </sheetData>
  <dataValidations>
    <dataValidation type="list" allowBlank="1" showErrorMessage="1" sqref="C2:C13">
      <formula1>"Easy,Medium,Hard"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</hyperlink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1.0</v>
      </c>
      <c r="B2" s="1" t="s">
        <v>155</v>
      </c>
      <c r="C2" s="1" t="s">
        <v>21</v>
      </c>
      <c r="D2" s="5" t="s">
        <v>156</v>
      </c>
      <c r="E2" s="1" t="s">
        <v>14</v>
      </c>
      <c r="F2" s="2">
        <v>2026.0</v>
      </c>
    </row>
    <row r="3">
      <c r="A3" s="4">
        <v>2.0</v>
      </c>
      <c r="B3" s="1" t="s">
        <v>157</v>
      </c>
      <c r="C3" s="1" t="s">
        <v>30</v>
      </c>
      <c r="D3" s="5" t="s">
        <v>158</v>
      </c>
      <c r="E3" s="1" t="s">
        <v>14</v>
      </c>
      <c r="F3" s="2">
        <v>2026.0</v>
      </c>
    </row>
    <row r="4">
      <c r="A4" s="4">
        <v>3.0</v>
      </c>
      <c r="B4" s="1" t="s">
        <v>159</v>
      </c>
      <c r="C4" s="1" t="s">
        <v>30</v>
      </c>
      <c r="D4" s="5" t="s">
        <v>160</v>
      </c>
      <c r="E4" s="1" t="s">
        <v>43</v>
      </c>
      <c r="F4" s="1" t="s">
        <v>161</v>
      </c>
    </row>
    <row r="5">
      <c r="A5" s="4">
        <v>4.0</v>
      </c>
      <c r="B5" s="6" t="s">
        <v>162</v>
      </c>
      <c r="C5" s="1" t="s">
        <v>30</v>
      </c>
      <c r="D5" s="5" t="s">
        <v>163</v>
      </c>
      <c r="E5" s="1" t="s">
        <v>43</v>
      </c>
      <c r="F5" s="2">
        <v>2026.0</v>
      </c>
    </row>
    <row r="6">
      <c r="A6" s="4">
        <v>5.0</v>
      </c>
      <c r="B6" s="1" t="s">
        <v>164</v>
      </c>
      <c r="C6" s="1" t="s">
        <v>30</v>
      </c>
      <c r="D6" s="5" t="s">
        <v>166</v>
      </c>
      <c r="E6" s="1" t="s">
        <v>43</v>
      </c>
      <c r="F6" s="2">
        <v>2026.0</v>
      </c>
    </row>
    <row r="7">
      <c r="A7" s="4">
        <v>6.0</v>
      </c>
      <c r="B7" s="1" t="s">
        <v>168</v>
      </c>
      <c r="C7" s="1" t="s">
        <v>30</v>
      </c>
      <c r="D7" s="5" t="s">
        <v>169</v>
      </c>
      <c r="E7" s="1" t="s">
        <v>83</v>
      </c>
      <c r="F7" s="7" t="s">
        <v>172</v>
      </c>
    </row>
    <row r="8">
      <c r="A8" s="4">
        <v>7.0</v>
      </c>
      <c r="B8" s="1" t="s">
        <v>173</v>
      </c>
      <c r="C8" s="1" t="s">
        <v>13</v>
      </c>
      <c r="D8" s="8" t="s">
        <v>176</v>
      </c>
      <c r="E8" s="1" t="s">
        <v>14</v>
      </c>
      <c r="F8" s="2">
        <v>2027.0</v>
      </c>
    </row>
    <row r="9">
      <c r="A9" s="4">
        <v>8.0</v>
      </c>
      <c r="B9" s="6" t="s">
        <v>181</v>
      </c>
      <c r="C9" s="1" t="s">
        <v>13</v>
      </c>
      <c r="D9" s="5" t="s">
        <v>182</v>
      </c>
      <c r="E9" s="1" t="s">
        <v>14</v>
      </c>
      <c r="F9" s="2">
        <v>2027.0</v>
      </c>
    </row>
    <row r="10">
      <c r="A10" s="4">
        <v>9.0</v>
      </c>
      <c r="B10" s="1" t="s">
        <v>185</v>
      </c>
      <c r="C10" s="1" t="s">
        <v>13</v>
      </c>
      <c r="D10" s="5" t="s">
        <v>186</v>
      </c>
      <c r="E10" s="1" t="s">
        <v>14</v>
      </c>
      <c r="F10" s="2">
        <v>2027.0</v>
      </c>
    </row>
    <row r="11">
      <c r="A11" s="4">
        <v>10.0</v>
      </c>
      <c r="B11" s="1" t="s">
        <v>189</v>
      </c>
      <c r="C11" s="1" t="s">
        <v>13</v>
      </c>
      <c r="D11" s="5" t="s">
        <v>190</v>
      </c>
      <c r="E11" s="1" t="s">
        <v>43</v>
      </c>
      <c r="F11" s="2">
        <v>2027.0</v>
      </c>
    </row>
    <row r="12">
      <c r="A12" s="4">
        <v>11.0</v>
      </c>
      <c r="B12" s="1" t="s">
        <v>191</v>
      </c>
      <c r="C12" s="1" t="s">
        <v>30</v>
      </c>
      <c r="D12" s="5" t="s">
        <v>192</v>
      </c>
      <c r="E12" s="1" t="s">
        <v>43</v>
      </c>
      <c r="F12" s="2">
        <v>2027.0</v>
      </c>
    </row>
    <row r="13">
      <c r="A13" s="4">
        <v>12.0</v>
      </c>
      <c r="B13" s="1" t="s">
        <v>68</v>
      </c>
      <c r="C13" s="1" t="s">
        <v>13</v>
      </c>
      <c r="D13" s="5" t="s">
        <v>70</v>
      </c>
      <c r="E13" s="1" t="s">
        <v>43</v>
      </c>
      <c r="F13" s="2">
        <v>2027.0</v>
      </c>
    </row>
    <row r="14">
      <c r="A14" s="4">
        <v>13.0</v>
      </c>
      <c r="B14" s="6" t="s">
        <v>193</v>
      </c>
      <c r="C14" s="1" t="s">
        <v>30</v>
      </c>
      <c r="D14" s="5" t="s">
        <v>194</v>
      </c>
      <c r="E14" s="1" t="s">
        <v>83</v>
      </c>
      <c r="F14" s="2">
        <v>2027.0</v>
      </c>
    </row>
    <row r="15">
      <c r="A15" s="4">
        <v>14.0</v>
      </c>
      <c r="B15" s="1" t="s">
        <v>195</v>
      </c>
      <c r="C15" s="1" t="s">
        <v>30</v>
      </c>
      <c r="D15" s="5" t="s">
        <v>196</v>
      </c>
      <c r="E15" s="1" t="s">
        <v>83</v>
      </c>
      <c r="F15" s="2">
        <v>2027.0</v>
      </c>
    </row>
    <row r="16">
      <c r="A16" s="4">
        <v>15.0</v>
      </c>
      <c r="B16" s="1" t="s">
        <v>198</v>
      </c>
      <c r="C16" s="1" t="s">
        <v>30</v>
      </c>
      <c r="D16" s="5" t="s">
        <v>188</v>
      </c>
      <c r="E16" s="1" t="s">
        <v>14</v>
      </c>
      <c r="F16" s="2">
        <v>2028.0</v>
      </c>
    </row>
    <row r="17">
      <c r="A17" s="4">
        <v>16.0</v>
      </c>
      <c r="B17" s="1" t="s">
        <v>202</v>
      </c>
      <c r="C17" s="1" t="s">
        <v>13</v>
      </c>
      <c r="D17" s="5" t="s">
        <v>203</v>
      </c>
      <c r="E17" s="1" t="s">
        <v>14</v>
      </c>
      <c r="F17" s="2">
        <v>2028.0</v>
      </c>
    </row>
    <row r="18">
      <c r="A18" s="4">
        <v>17.0</v>
      </c>
      <c r="B18" s="1" t="s">
        <v>205</v>
      </c>
      <c r="C18" s="1" t="s">
        <v>13</v>
      </c>
      <c r="D18" s="5" t="s">
        <v>206</v>
      </c>
      <c r="E18" s="1" t="s">
        <v>14</v>
      </c>
      <c r="F18" s="2">
        <v>2028.0</v>
      </c>
    </row>
    <row r="19">
      <c r="A19" s="4">
        <v>18.0</v>
      </c>
      <c r="B19" s="6" t="s">
        <v>210</v>
      </c>
      <c r="C19" s="1" t="s">
        <v>30</v>
      </c>
      <c r="D19" s="5" t="s">
        <v>212</v>
      </c>
      <c r="E19" s="1" t="s">
        <v>14</v>
      </c>
      <c r="F19" s="2">
        <v>2028.0</v>
      </c>
    </row>
    <row r="20">
      <c r="A20" s="4">
        <v>19.0</v>
      </c>
      <c r="B20" s="1" t="s">
        <v>213</v>
      </c>
      <c r="C20" s="1" t="s">
        <v>30</v>
      </c>
      <c r="D20" s="5" t="s">
        <v>214</v>
      </c>
      <c r="E20" s="1" t="s">
        <v>14</v>
      </c>
      <c r="F20" s="2">
        <v>2028.0</v>
      </c>
    </row>
    <row r="21">
      <c r="A21" s="4">
        <v>20.0</v>
      </c>
      <c r="B21" s="1" t="s">
        <v>215</v>
      </c>
      <c r="C21" s="1" t="s">
        <v>30</v>
      </c>
      <c r="D21" s="5" t="s">
        <v>216</v>
      </c>
      <c r="E21" s="1" t="s">
        <v>14</v>
      </c>
      <c r="F21" s="2">
        <v>2028.0</v>
      </c>
    </row>
    <row r="22">
      <c r="A22" s="4">
        <v>21.0</v>
      </c>
      <c r="B22" s="6" t="s">
        <v>217</v>
      </c>
      <c r="C22" s="1" t="s">
        <v>13</v>
      </c>
      <c r="D22" s="5" t="s">
        <v>218</v>
      </c>
      <c r="E22" s="1" t="s">
        <v>14</v>
      </c>
      <c r="F22" s="2">
        <v>2028.0</v>
      </c>
    </row>
    <row r="23">
      <c r="A23" s="4">
        <v>22.0</v>
      </c>
      <c r="B23" s="1" t="s">
        <v>220</v>
      </c>
      <c r="C23" s="1" t="s">
        <v>30</v>
      </c>
      <c r="D23" s="5" t="s">
        <v>222</v>
      </c>
      <c r="E23" s="1" t="s">
        <v>43</v>
      </c>
      <c r="F23" s="2">
        <v>2028.0</v>
      </c>
    </row>
    <row r="24">
      <c r="A24" s="4">
        <v>23.0</v>
      </c>
      <c r="B24" s="1" t="s">
        <v>224</v>
      </c>
      <c r="C24" s="1" t="s">
        <v>30</v>
      </c>
      <c r="D24" s="5" t="s">
        <v>225</v>
      </c>
      <c r="E24" s="1" t="s">
        <v>43</v>
      </c>
      <c r="F24" s="2">
        <v>2028.0</v>
      </c>
    </row>
    <row r="25">
      <c r="A25" s="4">
        <v>24.0</v>
      </c>
      <c r="B25" s="6" t="s">
        <v>229</v>
      </c>
      <c r="C25" s="1" t="s">
        <v>13</v>
      </c>
      <c r="D25" s="5" t="s">
        <v>230</v>
      </c>
      <c r="E25" s="1" t="s">
        <v>43</v>
      </c>
      <c r="F25" s="2">
        <v>2028.0</v>
      </c>
    </row>
    <row r="26">
      <c r="A26" s="4">
        <v>25.0</v>
      </c>
      <c r="B26" s="1" t="s">
        <v>232</v>
      </c>
      <c r="C26" s="1" t="s">
        <v>13</v>
      </c>
      <c r="D26" s="5" t="s">
        <v>234</v>
      </c>
      <c r="E26" s="1" t="s">
        <v>43</v>
      </c>
      <c r="F26" s="1" t="s">
        <v>150</v>
      </c>
    </row>
    <row r="27">
      <c r="A27" s="4">
        <v>26.0</v>
      </c>
      <c r="B27" s="1" t="s">
        <v>235</v>
      </c>
      <c r="C27" s="1" t="s">
        <v>30</v>
      </c>
      <c r="D27" s="5" t="s">
        <v>236</v>
      </c>
      <c r="E27" s="1" t="s">
        <v>43</v>
      </c>
      <c r="F27" s="2">
        <v>2028.0</v>
      </c>
    </row>
    <row r="28">
      <c r="A28" s="4">
        <v>27.0</v>
      </c>
      <c r="B28" s="1" t="s">
        <v>239</v>
      </c>
      <c r="C28" s="1" t="s">
        <v>30</v>
      </c>
      <c r="D28" s="5" t="s">
        <v>240</v>
      </c>
      <c r="E28" s="1" t="s">
        <v>43</v>
      </c>
      <c r="F28" s="2">
        <v>2028.0</v>
      </c>
    </row>
    <row r="29">
      <c r="A29" s="4">
        <v>28.0</v>
      </c>
      <c r="B29" s="6" t="s">
        <v>142</v>
      </c>
      <c r="C29" s="1" t="s">
        <v>13</v>
      </c>
      <c r="D29" s="5" t="s">
        <v>143</v>
      </c>
      <c r="E29" s="1" t="s">
        <v>43</v>
      </c>
      <c r="F29" s="2">
        <v>2028.0</v>
      </c>
    </row>
    <row r="30">
      <c r="A30" s="4">
        <v>29.0</v>
      </c>
      <c r="B30" s="1" t="s">
        <v>243</v>
      </c>
      <c r="C30" s="1" t="s">
        <v>30</v>
      </c>
      <c r="D30" s="5" t="s">
        <v>244</v>
      </c>
      <c r="E30" s="1" t="s">
        <v>43</v>
      </c>
      <c r="F30" s="2">
        <v>2028.0</v>
      </c>
    </row>
  </sheetData>
  <dataValidations>
    <dataValidation type="list" allowBlank="1" showErrorMessage="1" sqref="C2:C30">
      <formula1>"Easy,Medium,Hard"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</hyperlinks>
  <drawing r:id="rId3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1.0</v>
      </c>
      <c r="B2" s="1" t="s">
        <v>165</v>
      </c>
      <c r="C2" s="1" t="s">
        <v>30</v>
      </c>
      <c r="D2" s="5" t="s">
        <v>167</v>
      </c>
      <c r="E2" s="1" t="s">
        <v>43</v>
      </c>
      <c r="F2" s="2">
        <v>2025.0</v>
      </c>
    </row>
    <row r="3">
      <c r="A3" s="4">
        <v>2.0</v>
      </c>
      <c r="B3" s="6" t="s">
        <v>170</v>
      </c>
      <c r="C3" s="1" t="s">
        <v>13</v>
      </c>
      <c r="D3" s="5" t="s">
        <v>171</v>
      </c>
      <c r="E3" s="1" t="s">
        <v>43</v>
      </c>
      <c r="F3" s="2">
        <v>2025.0</v>
      </c>
    </row>
    <row r="4">
      <c r="A4" s="4">
        <v>3.0</v>
      </c>
      <c r="B4" s="1" t="s">
        <v>174</v>
      </c>
      <c r="C4" s="1" t="s">
        <v>30</v>
      </c>
      <c r="D4" s="5" t="s">
        <v>175</v>
      </c>
      <c r="E4" s="1" t="s">
        <v>43</v>
      </c>
      <c r="F4" s="2">
        <v>2026.0</v>
      </c>
    </row>
    <row r="5">
      <c r="A5" s="4">
        <v>4.0</v>
      </c>
      <c r="B5" s="1" t="s">
        <v>177</v>
      </c>
      <c r="C5" s="1" t="s">
        <v>13</v>
      </c>
      <c r="D5" s="5" t="s">
        <v>178</v>
      </c>
      <c r="E5" s="1" t="s">
        <v>43</v>
      </c>
      <c r="F5" s="2">
        <v>2026.0</v>
      </c>
    </row>
    <row r="6">
      <c r="A6" s="4">
        <v>5.0</v>
      </c>
      <c r="B6" s="6" t="s">
        <v>179</v>
      </c>
      <c r="C6" s="1" t="s">
        <v>13</v>
      </c>
      <c r="D6" s="5" t="s">
        <v>180</v>
      </c>
      <c r="E6" s="1" t="s">
        <v>43</v>
      </c>
      <c r="F6" s="2">
        <v>2026.0</v>
      </c>
    </row>
    <row r="7">
      <c r="A7" s="4">
        <v>6.0</v>
      </c>
      <c r="B7" s="6" t="s">
        <v>183</v>
      </c>
      <c r="C7" s="1" t="s">
        <v>30</v>
      </c>
      <c r="D7" s="5" t="s">
        <v>184</v>
      </c>
      <c r="E7" s="1" t="s">
        <v>43</v>
      </c>
      <c r="F7" s="2">
        <v>2026.0</v>
      </c>
    </row>
    <row r="8">
      <c r="A8" s="4">
        <v>7.0</v>
      </c>
      <c r="B8" s="1" t="s">
        <v>159</v>
      </c>
      <c r="C8" s="1" t="s">
        <v>30</v>
      </c>
      <c r="D8" s="5" t="s">
        <v>160</v>
      </c>
      <c r="E8" s="1" t="s">
        <v>43</v>
      </c>
      <c r="F8" s="2">
        <v>2026.0</v>
      </c>
    </row>
    <row r="9">
      <c r="A9" s="4">
        <v>8.0</v>
      </c>
      <c r="B9" s="1" t="s">
        <v>187</v>
      </c>
      <c r="C9" s="1" t="s">
        <v>30</v>
      </c>
      <c r="D9" s="5" t="s">
        <v>188</v>
      </c>
      <c r="E9" s="1" t="s">
        <v>43</v>
      </c>
      <c r="F9" s="2">
        <v>2026.0</v>
      </c>
    </row>
  </sheetData>
  <dataValidations>
    <dataValidation type="list" allowBlank="1" showErrorMessage="1" sqref="C2:C9">
      <formula1>"Easy,Medium,Hard"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1.0</v>
      </c>
      <c r="B2" s="1" t="s">
        <v>197</v>
      </c>
      <c r="C2" s="1" t="s">
        <v>13</v>
      </c>
      <c r="D2" s="5" t="s">
        <v>199</v>
      </c>
      <c r="E2" s="1" t="s">
        <v>14</v>
      </c>
      <c r="F2" s="2">
        <v>2026.0</v>
      </c>
    </row>
    <row r="3">
      <c r="A3" s="4">
        <v>2.0</v>
      </c>
      <c r="B3" s="9" t="s">
        <v>200</v>
      </c>
      <c r="C3" s="1" t="s">
        <v>30</v>
      </c>
      <c r="D3" s="5" t="s">
        <v>201</v>
      </c>
      <c r="E3" s="1" t="s">
        <v>43</v>
      </c>
      <c r="F3" s="2">
        <v>2026.0</v>
      </c>
    </row>
    <row r="4">
      <c r="A4" s="4">
        <v>3.0</v>
      </c>
      <c r="B4" s="6" t="s">
        <v>204</v>
      </c>
      <c r="C4" s="1" t="s">
        <v>30</v>
      </c>
      <c r="D4" s="5" t="s">
        <v>99</v>
      </c>
      <c r="E4" s="1" t="s">
        <v>43</v>
      </c>
      <c r="F4" s="2">
        <v>2026.0</v>
      </c>
    </row>
    <row r="5">
      <c r="A5" s="4">
        <v>4.0</v>
      </c>
      <c r="B5" s="1" t="s">
        <v>207</v>
      </c>
      <c r="C5" s="1" t="s">
        <v>13</v>
      </c>
      <c r="D5" s="5" t="s">
        <v>208</v>
      </c>
      <c r="E5" s="1" t="s">
        <v>43</v>
      </c>
      <c r="F5" s="2">
        <v>2026.0</v>
      </c>
    </row>
    <row r="6">
      <c r="A6" s="4">
        <v>5.0</v>
      </c>
      <c r="B6" s="1" t="s">
        <v>209</v>
      </c>
      <c r="C6" s="1" t="s">
        <v>30</v>
      </c>
      <c r="D6" s="5" t="s">
        <v>211</v>
      </c>
      <c r="E6" s="1" t="s">
        <v>43</v>
      </c>
      <c r="F6" s="2">
        <v>2026.0</v>
      </c>
    </row>
  </sheetData>
  <dataValidations>
    <dataValidation type="list" allowBlank="1" showErrorMessage="1" sqref="C2:C6">
      <formula1>"Easy,Medium,Hard"</formula1>
    </dataValidation>
  </dataValidations>
  <hyperlinks>
    <hyperlink r:id="rId1" ref="D2"/>
    <hyperlink r:id="rId2" ref="D3"/>
    <hyperlink r:id="rId3" ref="D4"/>
    <hyperlink r:id="rId4" ref="D5"/>
    <hyperlink r:id="rId5" ref="D6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1.0</v>
      </c>
      <c r="B2" s="6" t="s">
        <v>219</v>
      </c>
      <c r="C2" s="1" t="s">
        <v>13</v>
      </c>
      <c r="D2" s="5" t="s">
        <v>221</v>
      </c>
      <c r="E2" s="1" t="s">
        <v>14</v>
      </c>
      <c r="F2" s="2">
        <v>2023.0</v>
      </c>
    </row>
    <row r="3">
      <c r="A3" s="4">
        <v>2.0</v>
      </c>
      <c r="B3" s="1" t="s">
        <v>223</v>
      </c>
      <c r="C3" s="1" t="s">
        <v>13</v>
      </c>
      <c r="D3" s="5" t="s">
        <v>226</v>
      </c>
      <c r="E3" s="1" t="s">
        <v>14</v>
      </c>
      <c r="F3" s="2">
        <v>2023.0</v>
      </c>
    </row>
    <row r="4">
      <c r="A4" s="4">
        <v>3.0</v>
      </c>
      <c r="B4" s="1" t="s">
        <v>227</v>
      </c>
      <c r="C4" s="1" t="s">
        <v>13</v>
      </c>
      <c r="D4" s="5" t="s">
        <v>228</v>
      </c>
      <c r="E4" s="1" t="s">
        <v>14</v>
      </c>
      <c r="F4" s="2">
        <v>2023.0</v>
      </c>
    </row>
    <row r="5">
      <c r="A5" s="4">
        <v>4.0</v>
      </c>
      <c r="B5" s="6" t="s">
        <v>231</v>
      </c>
      <c r="C5" s="1" t="s">
        <v>13</v>
      </c>
      <c r="D5" s="5" t="s">
        <v>233</v>
      </c>
      <c r="E5" s="1" t="s">
        <v>14</v>
      </c>
      <c r="F5" s="2">
        <v>2024.0</v>
      </c>
    </row>
    <row r="6">
      <c r="A6" s="4">
        <v>5.0</v>
      </c>
      <c r="B6" s="6" t="s">
        <v>237</v>
      </c>
      <c r="C6" s="1" t="s">
        <v>13</v>
      </c>
      <c r="D6" s="5" t="s">
        <v>238</v>
      </c>
      <c r="E6" s="1" t="s">
        <v>14</v>
      </c>
      <c r="F6" s="2">
        <v>2024.0</v>
      </c>
    </row>
    <row r="7">
      <c r="A7" s="4">
        <v>6.0</v>
      </c>
      <c r="B7" s="6" t="s">
        <v>241</v>
      </c>
      <c r="C7" s="1" t="s">
        <v>13</v>
      </c>
      <c r="D7" s="5" t="s">
        <v>242</v>
      </c>
      <c r="E7" s="1" t="s">
        <v>43</v>
      </c>
      <c r="F7" s="2">
        <v>2024.0</v>
      </c>
    </row>
  </sheetData>
  <dataValidations>
    <dataValidation type="list" allowBlank="1" showErrorMessage="1" sqref="C2:C7">
      <formula1>"Easy,Medium,Hard"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</hyperlinks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1.0</v>
      </c>
      <c r="B2" s="1" t="s">
        <v>245</v>
      </c>
      <c r="C2" s="1" t="s">
        <v>13</v>
      </c>
      <c r="D2" s="5" t="s">
        <v>246</v>
      </c>
      <c r="E2" s="1" t="s">
        <v>14</v>
      </c>
      <c r="F2" s="2">
        <v>2026.0</v>
      </c>
    </row>
    <row r="3">
      <c r="A3" s="4">
        <v>2.0</v>
      </c>
      <c r="B3" s="1" t="s">
        <v>247</v>
      </c>
      <c r="C3" s="1" t="s">
        <v>13</v>
      </c>
      <c r="D3" s="5" t="s">
        <v>248</v>
      </c>
      <c r="E3" s="1" t="s">
        <v>43</v>
      </c>
      <c r="F3" s="2">
        <v>2026.0</v>
      </c>
    </row>
    <row r="4">
      <c r="A4" s="4">
        <v>3.0</v>
      </c>
      <c r="B4" s="1" t="s">
        <v>249</v>
      </c>
      <c r="C4" s="1" t="s">
        <v>13</v>
      </c>
      <c r="D4" s="5" t="s">
        <v>250</v>
      </c>
      <c r="E4" s="1" t="s">
        <v>43</v>
      </c>
      <c r="F4" s="2">
        <v>2026.0</v>
      </c>
    </row>
    <row r="5">
      <c r="A5" s="4">
        <v>4.0</v>
      </c>
      <c r="B5" s="1" t="s">
        <v>251</v>
      </c>
      <c r="C5" s="1" t="s">
        <v>13</v>
      </c>
      <c r="D5" s="5" t="s">
        <v>252</v>
      </c>
      <c r="E5" s="1" t="s">
        <v>43</v>
      </c>
      <c r="F5" s="2">
        <v>2027.0</v>
      </c>
    </row>
    <row r="6">
      <c r="A6" s="4">
        <v>5.0</v>
      </c>
      <c r="B6" s="1" t="s">
        <v>253</v>
      </c>
      <c r="C6" s="1" t="s">
        <v>13</v>
      </c>
      <c r="D6" s="5" t="s">
        <v>254</v>
      </c>
      <c r="E6" s="1" t="s">
        <v>43</v>
      </c>
      <c r="F6" s="2">
        <v>2027.0</v>
      </c>
    </row>
    <row r="7">
      <c r="A7" s="4">
        <v>6.0</v>
      </c>
      <c r="B7" s="1" t="s">
        <v>255</v>
      </c>
      <c r="C7" s="1" t="s">
        <v>13</v>
      </c>
      <c r="D7" s="5" t="s">
        <v>256</v>
      </c>
      <c r="E7" s="1" t="s">
        <v>43</v>
      </c>
      <c r="F7" s="2">
        <v>2028.0</v>
      </c>
    </row>
    <row r="8">
      <c r="A8" s="4">
        <v>7.0</v>
      </c>
      <c r="B8" s="1" t="s">
        <v>257</v>
      </c>
      <c r="C8" s="1" t="s">
        <v>13</v>
      </c>
      <c r="D8" s="5" t="s">
        <v>258</v>
      </c>
      <c r="E8" s="1" t="s">
        <v>43</v>
      </c>
      <c r="F8" s="2">
        <v>2028.0</v>
      </c>
    </row>
  </sheetData>
  <dataValidations>
    <dataValidation type="list" allowBlank="1" showErrorMessage="1" sqref="C2:C8">
      <formula1>"Easy,Medium,Hard"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</hyperlinks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1.0</v>
      </c>
      <c r="B2" s="1" t="s">
        <v>259</v>
      </c>
      <c r="C2" s="1" t="s">
        <v>30</v>
      </c>
      <c r="D2" s="5" t="s">
        <v>260</v>
      </c>
      <c r="E2" s="1" t="s">
        <v>43</v>
      </c>
      <c r="F2" s="2">
        <v>2021.0</v>
      </c>
    </row>
    <row r="3">
      <c r="A3" s="4">
        <v>2.0</v>
      </c>
      <c r="B3" s="1" t="s">
        <v>261</v>
      </c>
      <c r="C3" s="1" t="s">
        <v>13</v>
      </c>
      <c r="D3" s="5" t="s">
        <v>262</v>
      </c>
      <c r="E3" s="1" t="s">
        <v>43</v>
      </c>
      <c r="F3" s="2">
        <v>2021.0</v>
      </c>
    </row>
    <row r="4">
      <c r="A4" s="4">
        <v>3.0</v>
      </c>
      <c r="B4" s="1" t="s">
        <v>263</v>
      </c>
      <c r="C4" s="1" t="s">
        <v>13</v>
      </c>
      <c r="D4" s="5" t="s">
        <v>264</v>
      </c>
      <c r="E4" s="1" t="s">
        <v>43</v>
      </c>
      <c r="F4" s="2">
        <v>2021.0</v>
      </c>
    </row>
  </sheetData>
  <dataValidations>
    <dataValidation type="list" allowBlank="1" showErrorMessage="1" sqref="C2:C4">
      <formula1>"Easy,Medium,Hard"</formula1>
    </dataValidation>
  </dataValidations>
  <hyperlinks>
    <hyperlink r:id="rId1" ref="D2"/>
    <hyperlink r:id="rId2" ref="D3"/>
    <hyperlink r:id="rId3" ref="D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265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1.0</v>
      </c>
      <c r="B2" s="1" t="s">
        <v>266</v>
      </c>
      <c r="C2" s="1" t="s">
        <v>13</v>
      </c>
      <c r="D2" s="5" t="s">
        <v>267</v>
      </c>
      <c r="E2" s="1" t="s">
        <v>269</v>
      </c>
      <c r="F2" s="2">
        <v>2022.0</v>
      </c>
    </row>
    <row r="3">
      <c r="A3" s="4">
        <v>2.0</v>
      </c>
      <c r="B3" s="1" t="s">
        <v>271</v>
      </c>
      <c r="C3" s="1" t="s">
        <v>21</v>
      </c>
      <c r="D3" s="5" t="s">
        <v>272</v>
      </c>
      <c r="E3" s="1" t="s">
        <v>14</v>
      </c>
      <c r="F3" s="2">
        <v>2026.0</v>
      </c>
    </row>
    <row r="4">
      <c r="A4" s="4">
        <v>3.0</v>
      </c>
      <c r="B4" s="1" t="s">
        <v>274</v>
      </c>
      <c r="C4" s="1" t="s">
        <v>30</v>
      </c>
      <c r="D4" s="5" t="s">
        <v>275</v>
      </c>
      <c r="E4" s="1" t="s">
        <v>269</v>
      </c>
      <c r="F4" s="2">
        <v>2026.0</v>
      </c>
    </row>
    <row r="5">
      <c r="A5" s="4">
        <v>4.0</v>
      </c>
      <c r="B5" s="1" t="s">
        <v>257</v>
      </c>
      <c r="C5" s="1" t="s">
        <v>13</v>
      </c>
      <c r="D5" s="5" t="s">
        <v>258</v>
      </c>
      <c r="E5" s="1" t="s">
        <v>269</v>
      </c>
      <c r="F5" s="2">
        <v>2026.0</v>
      </c>
    </row>
    <row r="6">
      <c r="A6" s="4">
        <v>5.0</v>
      </c>
      <c r="B6" s="6" t="s">
        <v>277</v>
      </c>
      <c r="C6" s="1" t="s">
        <v>30</v>
      </c>
      <c r="D6" s="5" t="s">
        <v>99</v>
      </c>
      <c r="E6" s="1" t="s">
        <v>269</v>
      </c>
      <c r="F6" s="2">
        <v>2026.0</v>
      </c>
    </row>
    <row r="7">
      <c r="A7" s="4">
        <v>6.0</v>
      </c>
      <c r="B7" s="1" t="s">
        <v>278</v>
      </c>
      <c r="C7" s="1" t="s">
        <v>13</v>
      </c>
      <c r="D7" s="5" t="s">
        <v>279</v>
      </c>
      <c r="E7" s="1" t="s">
        <v>269</v>
      </c>
      <c r="F7" s="2">
        <v>2026.0</v>
      </c>
    </row>
  </sheetData>
  <dataValidations>
    <dataValidation type="list" allowBlank="1" showErrorMessage="1" sqref="C2:C7">
      <formula1>"Easy,Medium,Hard"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</hyperlinks>
  <drawing r:id="rId7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1.0</v>
      </c>
      <c r="B2" s="1" t="s">
        <v>268</v>
      </c>
      <c r="C2" s="1" t="s">
        <v>30</v>
      </c>
      <c r="D2" s="5" t="s">
        <v>270</v>
      </c>
      <c r="E2" s="1" t="s">
        <v>43</v>
      </c>
      <c r="F2" s="2">
        <v>2025.0</v>
      </c>
    </row>
    <row r="3">
      <c r="A3" s="4">
        <v>2.0</v>
      </c>
      <c r="B3" s="1" t="s">
        <v>273</v>
      </c>
      <c r="C3" s="1" t="s">
        <v>13</v>
      </c>
      <c r="D3" s="5" t="s">
        <v>276</v>
      </c>
      <c r="E3" s="1" t="s">
        <v>43</v>
      </c>
      <c r="F3" s="2">
        <v>2025.0</v>
      </c>
    </row>
  </sheetData>
  <dataValidations>
    <dataValidation type="list" allowBlank="1" showErrorMessage="1" sqref="C2:C3">
      <formula1>"Easy,Medium,Hard"</formula1>
    </dataValidation>
  </dataValidations>
  <hyperlinks>
    <hyperlink r:id="rId1" ref="D2"/>
    <hyperlink r:id="rId2" ref="D3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4">
        <v>1.0</v>
      </c>
      <c r="B2" s="4" t="s">
        <v>280</v>
      </c>
      <c r="C2" s="4" t="s">
        <v>21</v>
      </c>
      <c r="D2" s="10" t="s">
        <v>281</v>
      </c>
      <c r="E2" s="4" t="s">
        <v>14</v>
      </c>
      <c r="F2" s="4">
        <v>2024.0</v>
      </c>
    </row>
    <row r="3">
      <c r="A3" s="4">
        <v>2.0</v>
      </c>
      <c r="B3" s="4" t="s">
        <v>284</v>
      </c>
      <c r="C3" s="4" t="s">
        <v>30</v>
      </c>
      <c r="E3" s="4" t="s">
        <v>14</v>
      </c>
      <c r="F3" s="4">
        <v>2021.0</v>
      </c>
    </row>
    <row r="4">
      <c r="A4" s="4">
        <v>3.0</v>
      </c>
      <c r="B4" s="4" t="s">
        <v>285</v>
      </c>
      <c r="D4" s="10" t="s">
        <v>286</v>
      </c>
      <c r="E4" s="4" t="s">
        <v>14</v>
      </c>
      <c r="F4" s="4">
        <v>2021.0</v>
      </c>
    </row>
  </sheetData>
  <hyperlinks>
    <hyperlink r:id="rId1" ref="D2"/>
    <hyperlink r:id="rId2" ref="D4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4">
        <v>1.0</v>
      </c>
      <c r="B2" s="4" t="s">
        <v>282</v>
      </c>
      <c r="C2" s="4" t="s">
        <v>30</v>
      </c>
      <c r="D2" s="10" t="s">
        <v>283</v>
      </c>
      <c r="E2" s="4" t="s">
        <v>14</v>
      </c>
      <c r="F2" s="4">
        <v>2026.0</v>
      </c>
    </row>
    <row r="3">
      <c r="A3" s="4">
        <v>2.0</v>
      </c>
      <c r="B3" s="4" t="s">
        <v>287</v>
      </c>
      <c r="D3" s="10" t="s">
        <v>288</v>
      </c>
      <c r="E3" s="4" t="s">
        <v>14</v>
      </c>
      <c r="F3" s="4">
        <v>2026.0</v>
      </c>
    </row>
  </sheetData>
  <hyperlinks>
    <hyperlink r:id="rId1" ref="D2"/>
    <hyperlink r:id="rId2" ref="D3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11">
        <v>1.0</v>
      </c>
      <c r="B2" s="12" t="s">
        <v>291</v>
      </c>
      <c r="C2" s="13" t="s">
        <v>30</v>
      </c>
      <c r="D2" s="12" t="s">
        <v>293</v>
      </c>
      <c r="E2" s="11" t="s">
        <v>14</v>
      </c>
      <c r="F2" s="11">
        <v>2023.0</v>
      </c>
    </row>
    <row r="3">
      <c r="A3" s="11">
        <v>2.0</v>
      </c>
      <c r="B3" s="12" t="s">
        <v>294</v>
      </c>
      <c r="C3" s="14" t="s">
        <v>13</v>
      </c>
      <c r="D3" s="12" t="s">
        <v>293</v>
      </c>
      <c r="E3" s="11" t="s">
        <v>14</v>
      </c>
      <c r="F3" s="11">
        <v>2023.0</v>
      </c>
    </row>
    <row r="4">
      <c r="A4" s="11">
        <v>3.0</v>
      </c>
      <c r="B4" s="12" t="s">
        <v>296</v>
      </c>
      <c r="C4" s="14" t="s">
        <v>13</v>
      </c>
      <c r="D4" s="12" t="s">
        <v>293</v>
      </c>
      <c r="E4" s="11" t="s">
        <v>14</v>
      </c>
      <c r="F4" s="11">
        <v>2023.0</v>
      </c>
    </row>
    <row r="5">
      <c r="A5" s="11">
        <v>4.0</v>
      </c>
      <c r="B5" s="12" t="s">
        <v>298</v>
      </c>
      <c r="C5" s="16" t="s">
        <v>21</v>
      </c>
      <c r="D5" s="12" t="s">
        <v>293</v>
      </c>
      <c r="E5" s="11" t="s">
        <v>14</v>
      </c>
      <c r="F5" s="11">
        <v>2023.0</v>
      </c>
    </row>
    <row r="6">
      <c r="A6" s="11">
        <v>5.0</v>
      </c>
      <c r="B6" s="12" t="s">
        <v>300</v>
      </c>
      <c r="C6" s="14" t="s">
        <v>13</v>
      </c>
      <c r="D6" s="15" t="s">
        <v>301</v>
      </c>
      <c r="E6" s="11" t="s">
        <v>304</v>
      </c>
      <c r="F6" s="11">
        <v>2023.0</v>
      </c>
    </row>
    <row r="7">
      <c r="A7" s="11">
        <v>6.0</v>
      </c>
      <c r="B7" s="12" t="s">
        <v>305</v>
      </c>
      <c r="C7" s="13" t="s">
        <v>30</v>
      </c>
      <c r="D7" s="15" t="s">
        <v>306</v>
      </c>
      <c r="E7" s="11" t="s">
        <v>14</v>
      </c>
      <c r="F7" s="11">
        <v>2023.0</v>
      </c>
    </row>
    <row r="8">
      <c r="A8" s="11">
        <v>7.0</v>
      </c>
      <c r="B8" s="12" t="s">
        <v>294</v>
      </c>
      <c r="C8" s="14" t="s">
        <v>13</v>
      </c>
      <c r="D8" s="12" t="s">
        <v>293</v>
      </c>
      <c r="E8" s="11" t="s">
        <v>14</v>
      </c>
      <c r="F8" s="11">
        <v>2023.0</v>
      </c>
    </row>
    <row r="9">
      <c r="A9" s="11">
        <v>8.0</v>
      </c>
      <c r="B9" s="12" t="s">
        <v>296</v>
      </c>
      <c r="C9" s="14" t="s">
        <v>13</v>
      </c>
      <c r="D9" s="12" t="s">
        <v>293</v>
      </c>
      <c r="E9" s="11" t="s">
        <v>14</v>
      </c>
      <c r="F9" s="11">
        <v>2023.0</v>
      </c>
    </row>
    <row r="10">
      <c r="A10" s="11">
        <v>9.0</v>
      </c>
      <c r="B10" s="12" t="s">
        <v>307</v>
      </c>
      <c r="C10" s="13" t="s">
        <v>30</v>
      </c>
      <c r="D10" s="15" t="s">
        <v>308</v>
      </c>
      <c r="E10" s="11" t="s">
        <v>309</v>
      </c>
      <c r="F10" s="11">
        <v>2023.0</v>
      </c>
    </row>
    <row r="11">
      <c r="A11" s="11">
        <v>10.0</v>
      </c>
      <c r="B11" s="12" t="s">
        <v>310</v>
      </c>
      <c r="C11" s="13" t="s">
        <v>30</v>
      </c>
      <c r="D11" s="12" t="s">
        <v>293</v>
      </c>
      <c r="E11" s="11" t="s">
        <v>309</v>
      </c>
      <c r="F11" s="11">
        <v>2023.0</v>
      </c>
    </row>
    <row r="12">
      <c r="A12" s="11">
        <v>11.0</v>
      </c>
      <c r="B12" s="12" t="s">
        <v>311</v>
      </c>
      <c r="C12" s="14" t="s">
        <v>13</v>
      </c>
      <c r="D12" s="12" t="s">
        <v>293</v>
      </c>
      <c r="E12" s="11" t="s">
        <v>14</v>
      </c>
      <c r="F12" s="11">
        <v>2024.0</v>
      </c>
    </row>
    <row r="13">
      <c r="A13" s="11">
        <v>12.0</v>
      </c>
      <c r="B13" s="12" t="s">
        <v>312</v>
      </c>
      <c r="C13" s="14" t="s">
        <v>13</v>
      </c>
      <c r="D13" s="12" t="s">
        <v>293</v>
      </c>
      <c r="E13" s="11" t="s">
        <v>14</v>
      </c>
      <c r="F13" s="11">
        <v>2024.0</v>
      </c>
    </row>
    <row r="14">
      <c r="A14" s="11">
        <v>13.0</v>
      </c>
      <c r="B14" s="12" t="s">
        <v>313</v>
      </c>
      <c r="C14" s="16" t="s">
        <v>21</v>
      </c>
      <c r="D14" s="12" t="s">
        <v>293</v>
      </c>
      <c r="E14" s="11" t="s">
        <v>14</v>
      </c>
      <c r="F14" s="11">
        <v>2024.0</v>
      </c>
    </row>
    <row r="15">
      <c r="A15" s="11">
        <v>14.0</v>
      </c>
      <c r="B15" s="12" t="s">
        <v>314</v>
      </c>
      <c r="C15" s="16" t="s">
        <v>21</v>
      </c>
      <c r="D15" s="12" t="s">
        <v>293</v>
      </c>
      <c r="E15" s="11" t="s">
        <v>14</v>
      </c>
      <c r="F15" s="11">
        <v>2024.0</v>
      </c>
    </row>
    <row r="16">
      <c r="A16" s="11">
        <v>15.0</v>
      </c>
      <c r="B16" s="12" t="s">
        <v>315</v>
      </c>
      <c r="C16" s="13" t="s">
        <v>30</v>
      </c>
      <c r="D16" s="12" t="s">
        <v>293</v>
      </c>
      <c r="E16" s="11" t="s">
        <v>309</v>
      </c>
      <c r="F16" s="11">
        <v>2024.0</v>
      </c>
    </row>
    <row r="17">
      <c r="A17" s="11">
        <v>16.0</v>
      </c>
      <c r="B17" s="12" t="s">
        <v>317</v>
      </c>
      <c r="C17" s="14" t="s">
        <v>13</v>
      </c>
      <c r="D17" s="15" t="s">
        <v>318</v>
      </c>
      <c r="E17" s="11" t="s">
        <v>309</v>
      </c>
      <c r="F17" s="11">
        <v>2024.0</v>
      </c>
    </row>
    <row r="18">
      <c r="A18" s="11">
        <v>17.0</v>
      </c>
      <c r="B18" s="12" t="s">
        <v>322</v>
      </c>
      <c r="C18" s="14" t="s">
        <v>13</v>
      </c>
      <c r="D18" s="15" t="s">
        <v>323</v>
      </c>
      <c r="E18" s="11" t="s">
        <v>14</v>
      </c>
      <c r="F18" s="11">
        <v>2025.0</v>
      </c>
    </row>
    <row r="19">
      <c r="A19" s="11">
        <v>18.0</v>
      </c>
      <c r="B19" s="12" t="s">
        <v>326</v>
      </c>
      <c r="C19" s="16" t="s">
        <v>21</v>
      </c>
      <c r="D19" s="12" t="s">
        <v>293</v>
      </c>
      <c r="E19" s="11" t="s">
        <v>14</v>
      </c>
      <c r="F19" s="11">
        <v>2025.0</v>
      </c>
    </row>
    <row r="20">
      <c r="A20" s="11">
        <v>19.0</v>
      </c>
      <c r="B20" s="12" t="s">
        <v>327</v>
      </c>
      <c r="C20" s="13" t="s">
        <v>30</v>
      </c>
      <c r="D20" s="12" t="s">
        <v>293</v>
      </c>
      <c r="E20" s="11" t="s">
        <v>14</v>
      </c>
      <c r="F20" s="11">
        <v>2025.0</v>
      </c>
    </row>
    <row r="21">
      <c r="A21" s="11">
        <v>20.0</v>
      </c>
      <c r="B21" s="12" t="s">
        <v>328</v>
      </c>
      <c r="C21" s="14" t="s">
        <v>13</v>
      </c>
      <c r="D21" s="12" t="s">
        <v>293</v>
      </c>
      <c r="E21" s="11" t="s">
        <v>14</v>
      </c>
      <c r="F21" s="11">
        <v>2025.0</v>
      </c>
    </row>
    <row r="22">
      <c r="A22" s="11">
        <v>21.0</v>
      </c>
      <c r="B22" s="12" t="s">
        <v>329</v>
      </c>
      <c r="C22" s="13" t="s">
        <v>30</v>
      </c>
      <c r="D22" s="12" t="s">
        <v>293</v>
      </c>
      <c r="E22" s="11" t="s">
        <v>295</v>
      </c>
      <c r="F22" s="11">
        <v>2025.0</v>
      </c>
    </row>
    <row r="23">
      <c r="A23" s="11">
        <v>22.0</v>
      </c>
      <c r="B23" s="12" t="s">
        <v>331</v>
      </c>
      <c r="C23" s="14" t="s">
        <v>13</v>
      </c>
      <c r="D23" s="12" t="s">
        <v>293</v>
      </c>
      <c r="E23" s="11" t="s">
        <v>295</v>
      </c>
      <c r="F23" s="11">
        <v>2025.0</v>
      </c>
    </row>
    <row r="24">
      <c r="A24" s="11">
        <v>23.0</v>
      </c>
      <c r="B24" s="12" t="s">
        <v>333</v>
      </c>
      <c r="C24" s="13" t="s">
        <v>30</v>
      </c>
      <c r="D24" s="15" t="s">
        <v>335</v>
      </c>
      <c r="E24" s="11" t="s">
        <v>295</v>
      </c>
      <c r="F24" s="11">
        <v>2025.0</v>
      </c>
    </row>
    <row r="25">
      <c r="A25" s="11">
        <v>24.0</v>
      </c>
      <c r="B25" s="12" t="s">
        <v>338</v>
      </c>
      <c r="C25" s="14" t="s">
        <v>13</v>
      </c>
      <c r="D25" s="12" t="s">
        <v>293</v>
      </c>
      <c r="E25" s="11" t="s">
        <v>14</v>
      </c>
      <c r="F25" s="11">
        <v>2026.0</v>
      </c>
    </row>
    <row r="26">
      <c r="A26" s="11">
        <v>25.0</v>
      </c>
      <c r="B26" s="12" t="s">
        <v>341</v>
      </c>
      <c r="C26" s="14" t="s">
        <v>13</v>
      </c>
      <c r="D26" s="12" t="s">
        <v>293</v>
      </c>
      <c r="E26" s="11" t="s">
        <v>14</v>
      </c>
      <c r="F26" s="11">
        <v>2026.0</v>
      </c>
    </row>
    <row r="27">
      <c r="A27" s="11">
        <v>26.0</v>
      </c>
      <c r="B27" s="12" t="s">
        <v>342</v>
      </c>
      <c r="C27" s="16" t="s">
        <v>21</v>
      </c>
      <c r="D27" s="12" t="s">
        <v>293</v>
      </c>
      <c r="E27" s="11" t="s">
        <v>14</v>
      </c>
      <c r="F27" s="11">
        <v>2026.0</v>
      </c>
    </row>
    <row r="28">
      <c r="A28" s="11">
        <v>27.0</v>
      </c>
      <c r="B28" s="12" t="s">
        <v>343</v>
      </c>
      <c r="C28" s="14" t="s">
        <v>13</v>
      </c>
      <c r="D28" s="12" t="s">
        <v>293</v>
      </c>
      <c r="E28" s="11" t="s">
        <v>14</v>
      </c>
      <c r="F28" s="11">
        <v>2026.0</v>
      </c>
    </row>
    <row r="29">
      <c r="A29" s="11">
        <v>28.0</v>
      </c>
      <c r="B29" s="12" t="s">
        <v>344</v>
      </c>
      <c r="C29" s="14" t="s">
        <v>13</v>
      </c>
      <c r="D29" s="15" t="s">
        <v>345</v>
      </c>
      <c r="E29" s="11" t="s">
        <v>309</v>
      </c>
      <c r="F29" s="11">
        <v>2026.0</v>
      </c>
    </row>
    <row r="30">
      <c r="A30" s="11">
        <v>29.0</v>
      </c>
      <c r="B30" s="12" t="s">
        <v>352</v>
      </c>
      <c r="C30" s="13" t="s">
        <v>30</v>
      </c>
      <c r="D30" s="15" t="s">
        <v>353</v>
      </c>
      <c r="E30" s="11" t="s">
        <v>309</v>
      </c>
      <c r="F30" s="11">
        <v>2026.0</v>
      </c>
    </row>
    <row r="31">
      <c r="A31" s="11">
        <v>30.0</v>
      </c>
      <c r="B31" s="12" t="s">
        <v>338</v>
      </c>
      <c r="C31" s="14" t="s">
        <v>13</v>
      </c>
      <c r="D31" s="12" t="s">
        <v>293</v>
      </c>
      <c r="E31" s="11" t="s">
        <v>14</v>
      </c>
      <c r="F31" s="11">
        <v>2026.0</v>
      </c>
    </row>
    <row r="32">
      <c r="A32" s="11">
        <v>31.0</v>
      </c>
      <c r="B32" s="12" t="s">
        <v>360</v>
      </c>
      <c r="C32" s="14" t="s">
        <v>13</v>
      </c>
      <c r="D32" s="12" t="s">
        <v>293</v>
      </c>
      <c r="E32" s="11" t="s">
        <v>14</v>
      </c>
      <c r="F32" s="11">
        <v>2026.0</v>
      </c>
    </row>
    <row r="33">
      <c r="A33" s="11">
        <v>32.0</v>
      </c>
      <c r="B33" s="12" t="s">
        <v>362</v>
      </c>
      <c r="C33" s="16" t="s">
        <v>21</v>
      </c>
      <c r="D33" s="12" t="s">
        <v>293</v>
      </c>
      <c r="E33" s="11" t="s">
        <v>14</v>
      </c>
      <c r="F33" s="11">
        <v>2026.0</v>
      </c>
    </row>
    <row r="34">
      <c r="A34" s="11">
        <v>33.0</v>
      </c>
      <c r="B34" s="12" t="s">
        <v>364</v>
      </c>
      <c r="C34" s="14" t="s">
        <v>13</v>
      </c>
      <c r="D34" s="12" t="s">
        <v>293</v>
      </c>
      <c r="E34" s="11" t="s">
        <v>14</v>
      </c>
      <c r="F34" s="11">
        <v>2026.0</v>
      </c>
    </row>
    <row r="35">
      <c r="A35" s="11">
        <v>34.0</v>
      </c>
      <c r="B35" s="12" t="s">
        <v>365</v>
      </c>
      <c r="C35" s="13" t="s">
        <v>30</v>
      </c>
      <c r="D35" s="15" t="s">
        <v>368</v>
      </c>
      <c r="E35" s="11" t="s">
        <v>309</v>
      </c>
      <c r="F35" s="11">
        <v>2026.0</v>
      </c>
    </row>
    <row r="36">
      <c r="A36" s="11">
        <v>35.0</v>
      </c>
      <c r="B36" s="12" t="s">
        <v>374</v>
      </c>
      <c r="C36" s="13" t="s">
        <v>30</v>
      </c>
      <c r="D36" s="15" t="s">
        <v>375</v>
      </c>
      <c r="E36" s="11" t="s">
        <v>309</v>
      </c>
      <c r="F36" s="11">
        <v>2026.0</v>
      </c>
    </row>
    <row r="37">
      <c r="A37" s="11">
        <v>36.0</v>
      </c>
      <c r="B37" s="12" t="s">
        <v>387</v>
      </c>
      <c r="C37" s="13" t="s">
        <v>30</v>
      </c>
      <c r="D37" s="12" t="s">
        <v>293</v>
      </c>
      <c r="E37" s="11" t="s">
        <v>309</v>
      </c>
      <c r="F37" s="11">
        <v>2026.0</v>
      </c>
    </row>
    <row r="38">
      <c r="A38" s="11">
        <v>37.0</v>
      </c>
      <c r="B38" s="12" t="s">
        <v>388</v>
      </c>
      <c r="C38" s="13" t="s">
        <v>30</v>
      </c>
      <c r="D38" s="15" t="s">
        <v>389</v>
      </c>
      <c r="E38" s="11" t="s">
        <v>295</v>
      </c>
      <c r="F38" s="11">
        <v>2026.0</v>
      </c>
    </row>
    <row r="39">
      <c r="A39" s="11">
        <v>38.0</v>
      </c>
      <c r="B39" s="12" t="s">
        <v>396</v>
      </c>
      <c r="C39" s="14" t="s">
        <v>13</v>
      </c>
      <c r="D39" s="15" t="s">
        <v>398</v>
      </c>
      <c r="E39" s="11" t="s">
        <v>295</v>
      </c>
      <c r="F39" s="11">
        <v>2026.0</v>
      </c>
    </row>
    <row r="40">
      <c r="A40" s="11">
        <v>39.0</v>
      </c>
      <c r="B40" s="12" t="s">
        <v>407</v>
      </c>
      <c r="C40" s="14" t="s">
        <v>13</v>
      </c>
      <c r="D40" s="12" t="s">
        <v>293</v>
      </c>
      <c r="E40" s="11" t="s">
        <v>14</v>
      </c>
      <c r="F40" s="11">
        <v>2027.0</v>
      </c>
    </row>
    <row r="41">
      <c r="A41" s="11">
        <v>40.0</v>
      </c>
      <c r="B41" s="12" t="s">
        <v>409</v>
      </c>
      <c r="C41" s="16" t="s">
        <v>21</v>
      </c>
      <c r="D41" s="12" t="s">
        <v>293</v>
      </c>
      <c r="E41" s="11" t="s">
        <v>14</v>
      </c>
      <c r="F41" s="11">
        <v>2027.0</v>
      </c>
    </row>
    <row r="42">
      <c r="A42" s="11">
        <v>41.0</v>
      </c>
      <c r="B42" s="12" t="s">
        <v>412</v>
      </c>
      <c r="C42" s="16" t="s">
        <v>21</v>
      </c>
      <c r="D42" s="12" t="s">
        <v>293</v>
      </c>
      <c r="E42" s="11" t="s">
        <v>14</v>
      </c>
      <c r="F42" s="11">
        <v>2027.0</v>
      </c>
    </row>
    <row r="43">
      <c r="A43" s="11">
        <v>42.0</v>
      </c>
      <c r="B43" s="12" t="s">
        <v>414</v>
      </c>
      <c r="C43" s="14" t="s">
        <v>13</v>
      </c>
      <c r="D43" s="12" t="s">
        <v>293</v>
      </c>
      <c r="E43" s="11" t="s">
        <v>14</v>
      </c>
      <c r="F43" s="11">
        <v>2027.0</v>
      </c>
    </row>
    <row r="44">
      <c r="A44" s="11">
        <v>43.0</v>
      </c>
      <c r="B44" s="12" t="s">
        <v>415</v>
      </c>
      <c r="C44" s="13" t="s">
        <v>30</v>
      </c>
      <c r="D44" s="12" t="s">
        <v>293</v>
      </c>
      <c r="E44" s="11" t="s">
        <v>309</v>
      </c>
      <c r="F44" s="11">
        <v>2027.0</v>
      </c>
    </row>
    <row r="45">
      <c r="A45" s="11">
        <v>44.0</v>
      </c>
      <c r="B45" s="12" t="s">
        <v>416</v>
      </c>
      <c r="C45" s="14" t="s">
        <v>13</v>
      </c>
      <c r="D45" s="12" t="s">
        <v>293</v>
      </c>
      <c r="E45" s="11" t="s">
        <v>309</v>
      </c>
      <c r="F45" s="11">
        <v>2027.0</v>
      </c>
    </row>
    <row r="46">
      <c r="A46" s="11">
        <v>45.0</v>
      </c>
      <c r="B46" s="12" t="s">
        <v>417</v>
      </c>
      <c r="C46" s="13" t="s">
        <v>30</v>
      </c>
      <c r="D46" s="12" t="s">
        <v>293</v>
      </c>
      <c r="E46" s="11" t="s">
        <v>309</v>
      </c>
      <c r="F46" s="11">
        <v>2027.0</v>
      </c>
    </row>
    <row r="47">
      <c r="A47" s="11">
        <v>46.0</v>
      </c>
      <c r="B47" s="12" t="s">
        <v>420</v>
      </c>
      <c r="C47" s="14" t="s">
        <v>13</v>
      </c>
      <c r="D47" s="12" t="s">
        <v>293</v>
      </c>
      <c r="E47" s="11" t="s">
        <v>14</v>
      </c>
      <c r="F47" s="11">
        <v>2027.0</v>
      </c>
    </row>
    <row r="48">
      <c r="A48" s="11">
        <v>47.0</v>
      </c>
      <c r="B48" s="12" t="s">
        <v>423</v>
      </c>
      <c r="C48" s="14" t="s">
        <v>13</v>
      </c>
      <c r="D48" s="12" t="s">
        <v>293</v>
      </c>
      <c r="E48" s="11" t="s">
        <v>14</v>
      </c>
      <c r="F48" s="11">
        <v>2027.0</v>
      </c>
    </row>
    <row r="49">
      <c r="A49" s="11">
        <v>48.0</v>
      </c>
      <c r="B49" s="12" t="s">
        <v>425</v>
      </c>
      <c r="C49" s="16" t="s">
        <v>21</v>
      </c>
      <c r="D49" s="12" t="s">
        <v>293</v>
      </c>
      <c r="E49" s="11" t="s">
        <v>14</v>
      </c>
      <c r="F49" s="11">
        <v>2027.0</v>
      </c>
    </row>
    <row r="50">
      <c r="A50" s="11">
        <v>49.0</v>
      </c>
      <c r="B50" s="12" t="s">
        <v>426</v>
      </c>
      <c r="C50" s="13" t="s">
        <v>30</v>
      </c>
      <c r="D50" s="12" t="s">
        <v>293</v>
      </c>
      <c r="E50" s="11" t="s">
        <v>309</v>
      </c>
      <c r="F50" s="11">
        <v>2027.0</v>
      </c>
    </row>
    <row r="51">
      <c r="A51" s="11">
        <v>50.0</v>
      </c>
      <c r="B51" s="12" t="s">
        <v>427</v>
      </c>
      <c r="C51" s="13" t="s">
        <v>30</v>
      </c>
      <c r="D51" s="12" t="s">
        <v>293</v>
      </c>
      <c r="E51" s="11" t="s">
        <v>309</v>
      </c>
      <c r="F51" s="11">
        <v>2027.0</v>
      </c>
    </row>
    <row r="52">
      <c r="A52" s="11">
        <v>51.0</v>
      </c>
      <c r="B52" s="12" t="s">
        <v>382</v>
      </c>
      <c r="C52" s="13" t="s">
        <v>30</v>
      </c>
      <c r="D52" s="15" t="s">
        <v>431</v>
      </c>
      <c r="E52" s="11" t="s">
        <v>295</v>
      </c>
      <c r="F52" s="11">
        <v>2027.0</v>
      </c>
    </row>
    <row r="53">
      <c r="A53" s="11">
        <v>52.0</v>
      </c>
      <c r="B53" s="12" t="s">
        <v>441</v>
      </c>
      <c r="C53" s="14" t="s">
        <v>13</v>
      </c>
      <c r="D53" s="12" t="s">
        <v>293</v>
      </c>
      <c r="E53" s="11" t="s">
        <v>14</v>
      </c>
      <c r="F53" s="11">
        <v>2027.0</v>
      </c>
    </row>
    <row r="54">
      <c r="A54" s="11">
        <v>53.0</v>
      </c>
      <c r="B54" s="12" t="s">
        <v>442</v>
      </c>
      <c r="C54" s="14" t="s">
        <v>13</v>
      </c>
      <c r="D54" s="12" t="s">
        <v>293</v>
      </c>
      <c r="E54" s="11" t="s">
        <v>14</v>
      </c>
      <c r="F54" s="11">
        <v>2027.0</v>
      </c>
    </row>
    <row r="55">
      <c r="A55" s="11">
        <v>54.0</v>
      </c>
      <c r="B55" s="12" t="s">
        <v>443</v>
      </c>
      <c r="C55" s="14" t="s">
        <v>13</v>
      </c>
      <c r="D55" s="12" t="s">
        <v>293</v>
      </c>
      <c r="E55" s="11" t="s">
        <v>14</v>
      </c>
      <c r="F55" s="11">
        <v>2027.0</v>
      </c>
    </row>
    <row r="56">
      <c r="A56" s="11">
        <v>55.0</v>
      </c>
      <c r="B56" s="12" t="s">
        <v>446</v>
      </c>
      <c r="C56" s="14" t="s">
        <v>13</v>
      </c>
      <c r="D56" s="12" t="s">
        <v>293</v>
      </c>
      <c r="E56" s="11" t="s">
        <v>309</v>
      </c>
      <c r="F56" s="11">
        <v>2027.0</v>
      </c>
    </row>
    <row r="57">
      <c r="A57" s="11">
        <v>56.0</v>
      </c>
      <c r="B57" s="12" t="s">
        <v>449</v>
      </c>
      <c r="C57" s="14" t="s">
        <v>13</v>
      </c>
      <c r="D57" s="12" t="s">
        <v>293</v>
      </c>
      <c r="E57" s="11" t="s">
        <v>309</v>
      </c>
      <c r="F57" s="11">
        <v>2027.0</v>
      </c>
    </row>
    <row r="58">
      <c r="A58" s="11">
        <v>57.0</v>
      </c>
      <c r="B58" s="12" t="s">
        <v>307</v>
      </c>
      <c r="C58" s="13" t="s">
        <v>30</v>
      </c>
      <c r="D58" s="15" t="s">
        <v>450</v>
      </c>
      <c r="E58" s="11" t="s">
        <v>309</v>
      </c>
      <c r="F58" s="11">
        <v>2026.0</v>
      </c>
    </row>
    <row r="59">
      <c r="A59" s="11">
        <v>58.0</v>
      </c>
      <c r="B59" s="12" t="s">
        <v>452</v>
      </c>
      <c r="C59" s="13" t="s">
        <v>30</v>
      </c>
      <c r="D59" s="12" t="s">
        <v>293</v>
      </c>
      <c r="E59" s="11" t="s">
        <v>309</v>
      </c>
      <c r="F59" s="11">
        <v>2026.0</v>
      </c>
    </row>
    <row r="60">
      <c r="A60" s="11">
        <v>59.0</v>
      </c>
      <c r="B60" s="12" t="s">
        <v>455</v>
      </c>
      <c r="C60" s="13" t="s">
        <v>30</v>
      </c>
      <c r="D60" s="15" t="s">
        <v>457</v>
      </c>
      <c r="E60" s="11" t="s">
        <v>309</v>
      </c>
      <c r="F60" s="11">
        <v>2026.0</v>
      </c>
    </row>
    <row r="61">
      <c r="A61" s="11">
        <v>60.0</v>
      </c>
      <c r="B61" s="12" t="s">
        <v>463</v>
      </c>
      <c r="C61" s="13" t="s">
        <v>30</v>
      </c>
      <c r="D61" s="12" t="s">
        <v>293</v>
      </c>
      <c r="E61" s="11" t="s">
        <v>309</v>
      </c>
      <c r="F61" s="11">
        <v>2026.0</v>
      </c>
    </row>
    <row r="62">
      <c r="A62" s="11">
        <v>61.0</v>
      </c>
      <c r="B62" s="12" t="s">
        <v>465</v>
      </c>
      <c r="C62" s="13" t="s">
        <v>30</v>
      </c>
      <c r="D62" s="15" t="s">
        <v>467</v>
      </c>
      <c r="E62" s="11" t="s">
        <v>309</v>
      </c>
      <c r="F62" s="11">
        <v>2026.0</v>
      </c>
    </row>
    <row r="63">
      <c r="A63" s="11">
        <v>62.0</v>
      </c>
      <c r="B63" s="12" t="s">
        <v>471</v>
      </c>
      <c r="C63" s="14" t="s">
        <v>13</v>
      </c>
      <c r="D63" s="12" t="s">
        <v>293</v>
      </c>
      <c r="E63" s="11" t="s">
        <v>309</v>
      </c>
      <c r="F63" s="11">
        <v>2026.0</v>
      </c>
    </row>
    <row r="64">
      <c r="A64" s="11">
        <v>63.0</v>
      </c>
      <c r="B64" s="12" t="s">
        <v>452</v>
      </c>
      <c r="C64" s="13" t="s">
        <v>30</v>
      </c>
      <c r="D64" s="12" t="s">
        <v>293</v>
      </c>
      <c r="E64" s="11" t="s">
        <v>309</v>
      </c>
      <c r="F64" s="11">
        <v>2025.0</v>
      </c>
    </row>
    <row r="65">
      <c r="A65" s="11">
        <v>64.0</v>
      </c>
      <c r="B65" s="12" t="s">
        <v>455</v>
      </c>
      <c r="C65" s="13" t="s">
        <v>30</v>
      </c>
      <c r="D65" s="15" t="s">
        <v>475</v>
      </c>
      <c r="E65" s="11" t="s">
        <v>309</v>
      </c>
      <c r="F65" s="11">
        <v>2025.0</v>
      </c>
    </row>
    <row r="66">
      <c r="A66" s="11">
        <v>65.0</v>
      </c>
      <c r="B66" s="12" t="s">
        <v>463</v>
      </c>
      <c r="C66" s="13" t="s">
        <v>30</v>
      </c>
      <c r="D66" s="12" t="s">
        <v>293</v>
      </c>
      <c r="E66" s="11" t="s">
        <v>309</v>
      </c>
      <c r="F66" s="11">
        <v>2025.0</v>
      </c>
    </row>
    <row r="67">
      <c r="A67" s="11">
        <v>66.0</v>
      </c>
      <c r="B67" s="12" t="s">
        <v>465</v>
      </c>
      <c r="C67" s="13" t="s">
        <v>30</v>
      </c>
      <c r="D67" s="15" t="s">
        <v>481</v>
      </c>
      <c r="E67" s="11" t="s">
        <v>309</v>
      </c>
      <c r="F67" s="11">
        <v>2025.0</v>
      </c>
    </row>
    <row r="68">
      <c r="A68" s="11">
        <v>67.0</v>
      </c>
      <c r="B68" s="12" t="s">
        <v>471</v>
      </c>
      <c r="C68" s="14" t="s">
        <v>13</v>
      </c>
      <c r="D68" s="12" t="s">
        <v>293</v>
      </c>
      <c r="E68" s="11" t="s">
        <v>309</v>
      </c>
      <c r="F68" s="11">
        <v>2025.0</v>
      </c>
    </row>
    <row r="69">
      <c r="A69" s="11">
        <v>68.0</v>
      </c>
      <c r="B69" s="12" t="s">
        <v>482</v>
      </c>
      <c r="C69" s="16" t="s">
        <v>21</v>
      </c>
      <c r="D69" s="12" t="s">
        <v>293</v>
      </c>
      <c r="E69" s="11" t="s">
        <v>14</v>
      </c>
      <c r="F69" s="11">
        <v>2028.0</v>
      </c>
    </row>
    <row r="70">
      <c r="A70" s="11">
        <v>69.0</v>
      </c>
      <c r="B70" s="12" t="s">
        <v>483</v>
      </c>
      <c r="C70" s="16" t="s">
        <v>21</v>
      </c>
      <c r="D70" s="12" t="s">
        <v>293</v>
      </c>
      <c r="E70" s="11" t="s">
        <v>14</v>
      </c>
      <c r="F70" s="11">
        <v>2028.0</v>
      </c>
    </row>
    <row r="71">
      <c r="A71" s="11">
        <v>70.0</v>
      </c>
      <c r="B71" s="12" t="s">
        <v>484</v>
      </c>
      <c r="C71" s="14" t="s">
        <v>13</v>
      </c>
      <c r="D71" s="15" t="s">
        <v>485</v>
      </c>
      <c r="E71" s="11" t="s">
        <v>309</v>
      </c>
      <c r="F71" s="11">
        <v>2028.0</v>
      </c>
    </row>
  </sheetData>
  <hyperlinks>
    <hyperlink r:id="rId1" ref="D6"/>
    <hyperlink r:id="rId2" ref="D7"/>
    <hyperlink r:id="rId3" ref="D10"/>
    <hyperlink r:id="rId4" ref="D17"/>
    <hyperlink r:id="rId5" ref="D18"/>
    <hyperlink r:id="rId6" ref="D24"/>
    <hyperlink r:id="rId7" ref="D29"/>
    <hyperlink r:id="rId8" ref="D30"/>
    <hyperlink r:id="rId9" ref="D35"/>
    <hyperlink r:id="rId10" ref="D36"/>
    <hyperlink r:id="rId11" ref="D38"/>
    <hyperlink r:id="rId12" ref="D39"/>
    <hyperlink r:id="rId13" ref="D52"/>
    <hyperlink r:id="rId14" ref="D58"/>
    <hyperlink r:id="rId15" ref="D60"/>
    <hyperlink r:id="rId16" ref="D62"/>
    <hyperlink r:id="rId17" ref="D65"/>
    <hyperlink r:id="rId18" ref="D67"/>
    <hyperlink r:id="rId19" ref="D71"/>
  </hyperlinks>
  <drawing r:id="rId2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3">
      <c r="A3" s="4" t="s">
        <v>289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11">
        <v>1.0</v>
      </c>
      <c r="B2" s="12" t="s">
        <v>290</v>
      </c>
      <c r="C2" s="13" t="s">
        <v>30</v>
      </c>
      <c r="D2" s="15" t="s">
        <v>292</v>
      </c>
      <c r="E2" s="11" t="s">
        <v>295</v>
      </c>
      <c r="F2" s="11">
        <v>2021.0</v>
      </c>
    </row>
    <row r="3">
      <c r="A3" s="11">
        <v>2.0</v>
      </c>
      <c r="B3" s="12" t="s">
        <v>297</v>
      </c>
      <c r="C3" s="14" t="s">
        <v>13</v>
      </c>
      <c r="D3" s="15" t="s">
        <v>299</v>
      </c>
      <c r="E3" s="11" t="s">
        <v>295</v>
      </c>
      <c r="F3" s="11">
        <v>2021.0</v>
      </c>
    </row>
    <row r="4">
      <c r="A4" s="11">
        <v>3.0</v>
      </c>
      <c r="B4" s="12" t="s">
        <v>302</v>
      </c>
      <c r="C4" s="14" t="s">
        <v>13</v>
      </c>
      <c r="D4" s="15" t="s">
        <v>303</v>
      </c>
      <c r="E4" s="11" t="s">
        <v>295</v>
      </c>
      <c r="F4" s="11">
        <v>2021.0</v>
      </c>
    </row>
  </sheetData>
  <hyperlinks>
    <hyperlink r:id="rId1" ref="D2"/>
    <hyperlink r:id="rId2" ref="D3"/>
    <hyperlink r:id="rId3" ref="D4"/>
  </hyperlinks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11">
        <v>1.0</v>
      </c>
      <c r="B2" s="12" t="s">
        <v>316</v>
      </c>
      <c r="C2" s="14" t="s">
        <v>13</v>
      </c>
      <c r="D2" s="15" t="s">
        <v>319</v>
      </c>
      <c r="E2" s="11" t="s">
        <v>14</v>
      </c>
      <c r="F2" s="11">
        <v>2021.0</v>
      </c>
    </row>
    <row r="3">
      <c r="A3" s="11">
        <v>2.0</v>
      </c>
      <c r="B3" s="12" t="s">
        <v>320</v>
      </c>
      <c r="C3" s="14" t="s">
        <v>13</v>
      </c>
      <c r="D3" s="15" t="s">
        <v>321</v>
      </c>
      <c r="E3" s="11" t="s">
        <v>309</v>
      </c>
      <c r="F3" s="11">
        <v>2021.0</v>
      </c>
    </row>
    <row r="4">
      <c r="A4" s="11">
        <v>3.0</v>
      </c>
      <c r="B4" s="12" t="s">
        <v>324</v>
      </c>
      <c r="C4" s="13" t="s">
        <v>30</v>
      </c>
      <c r="D4" s="15" t="s">
        <v>325</v>
      </c>
      <c r="E4" s="11" t="s">
        <v>309</v>
      </c>
      <c r="F4" s="11">
        <v>2021.0</v>
      </c>
    </row>
    <row r="5">
      <c r="A5" s="11">
        <v>4.0</v>
      </c>
      <c r="B5" s="12" t="s">
        <v>330</v>
      </c>
      <c r="C5" s="14" t="s">
        <v>13</v>
      </c>
      <c r="D5" s="12" t="s">
        <v>293</v>
      </c>
      <c r="E5" s="11" t="s">
        <v>14</v>
      </c>
      <c r="F5" s="11">
        <v>2024.0</v>
      </c>
    </row>
    <row r="6">
      <c r="A6" s="11">
        <v>5.0</v>
      </c>
      <c r="B6" s="12" t="s">
        <v>332</v>
      </c>
      <c r="C6" s="14" t="s">
        <v>13</v>
      </c>
      <c r="D6" s="12" t="s">
        <v>293</v>
      </c>
      <c r="E6" s="11" t="s">
        <v>14</v>
      </c>
      <c r="F6" s="11">
        <v>2024.0</v>
      </c>
    </row>
    <row r="7">
      <c r="A7" s="11">
        <v>6.0</v>
      </c>
      <c r="B7" s="12" t="s">
        <v>334</v>
      </c>
      <c r="C7" s="16" t="s">
        <v>21</v>
      </c>
      <c r="D7" s="12" t="s">
        <v>293</v>
      </c>
      <c r="E7" s="11" t="s">
        <v>14</v>
      </c>
      <c r="F7" s="11">
        <v>2024.0</v>
      </c>
    </row>
    <row r="8">
      <c r="A8" s="11">
        <v>7.0</v>
      </c>
      <c r="B8" s="12" t="s">
        <v>336</v>
      </c>
      <c r="C8" s="14" t="s">
        <v>13</v>
      </c>
      <c r="D8" s="12" t="s">
        <v>293</v>
      </c>
      <c r="E8" s="11" t="s">
        <v>309</v>
      </c>
      <c r="F8" s="11">
        <v>2024.0</v>
      </c>
    </row>
    <row r="9">
      <c r="A9" s="11">
        <v>8.0</v>
      </c>
      <c r="B9" s="12" t="s">
        <v>290</v>
      </c>
      <c r="C9" s="13" t="s">
        <v>30</v>
      </c>
      <c r="D9" s="15" t="s">
        <v>337</v>
      </c>
      <c r="E9" s="11" t="s">
        <v>309</v>
      </c>
      <c r="F9" s="11">
        <v>2024.0</v>
      </c>
    </row>
    <row r="10">
      <c r="A10" s="11">
        <v>9.0</v>
      </c>
      <c r="B10" s="12" t="s">
        <v>339</v>
      </c>
      <c r="C10" s="13" t="s">
        <v>30</v>
      </c>
      <c r="D10" s="15" t="s">
        <v>340</v>
      </c>
      <c r="E10" s="11" t="s">
        <v>309</v>
      </c>
      <c r="F10" s="11">
        <v>2024.0</v>
      </c>
    </row>
    <row r="11">
      <c r="A11" s="11">
        <v>10.0</v>
      </c>
      <c r="B11" s="12" t="s">
        <v>346</v>
      </c>
      <c r="C11" s="14" t="s">
        <v>13</v>
      </c>
      <c r="D11" s="15" t="s">
        <v>348</v>
      </c>
      <c r="E11" s="11" t="s">
        <v>309</v>
      </c>
      <c r="F11" s="11">
        <v>2024.0</v>
      </c>
    </row>
    <row r="12">
      <c r="A12" s="11">
        <v>11.0</v>
      </c>
      <c r="B12" s="12" t="s">
        <v>350</v>
      </c>
      <c r="C12" s="13" t="s">
        <v>30</v>
      </c>
      <c r="D12" s="15" t="s">
        <v>351</v>
      </c>
      <c r="E12" s="11" t="s">
        <v>309</v>
      </c>
      <c r="F12" s="11">
        <v>2024.0</v>
      </c>
    </row>
    <row r="13">
      <c r="A13" s="11">
        <v>12.0</v>
      </c>
      <c r="B13" s="12" t="s">
        <v>355</v>
      </c>
      <c r="C13" s="13" t="s">
        <v>30</v>
      </c>
      <c r="D13" s="15" t="s">
        <v>357</v>
      </c>
      <c r="E13" s="11" t="s">
        <v>309</v>
      </c>
      <c r="F13" s="11">
        <v>2024.0</v>
      </c>
    </row>
    <row r="14">
      <c r="A14" s="11">
        <v>13.0</v>
      </c>
      <c r="B14" s="12" t="s">
        <v>159</v>
      </c>
      <c r="C14" s="13" t="s">
        <v>30</v>
      </c>
      <c r="D14" s="15" t="s">
        <v>359</v>
      </c>
      <c r="E14" s="11" t="s">
        <v>309</v>
      </c>
      <c r="F14" s="11">
        <v>2024.0</v>
      </c>
    </row>
    <row r="15">
      <c r="A15" s="11">
        <v>14.0</v>
      </c>
      <c r="B15" s="12" t="s">
        <v>366</v>
      </c>
      <c r="C15" s="14" t="s">
        <v>13</v>
      </c>
      <c r="D15" s="15" t="s">
        <v>367</v>
      </c>
      <c r="E15" s="11" t="s">
        <v>309</v>
      </c>
      <c r="F15" s="11">
        <v>2024.0</v>
      </c>
    </row>
    <row r="16">
      <c r="A16" s="11">
        <v>15.0</v>
      </c>
      <c r="B16" s="12" t="s">
        <v>370</v>
      </c>
      <c r="C16" s="14" t="s">
        <v>13</v>
      </c>
      <c r="D16" s="15" t="s">
        <v>373</v>
      </c>
      <c r="E16" s="11" t="s">
        <v>14</v>
      </c>
      <c r="F16" s="11">
        <v>2025.0</v>
      </c>
    </row>
    <row r="17">
      <c r="A17" s="11">
        <v>16.0</v>
      </c>
      <c r="B17" s="12" t="s">
        <v>377</v>
      </c>
      <c r="C17" s="16" t="s">
        <v>21</v>
      </c>
      <c r="D17" s="12" t="s">
        <v>293</v>
      </c>
      <c r="E17" s="11" t="s">
        <v>14</v>
      </c>
      <c r="F17" s="11">
        <v>2025.0</v>
      </c>
    </row>
    <row r="18">
      <c r="A18" s="11">
        <v>17.0</v>
      </c>
      <c r="B18" s="12" t="s">
        <v>378</v>
      </c>
      <c r="C18" s="16" t="s">
        <v>21</v>
      </c>
      <c r="D18" s="12" t="s">
        <v>293</v>
      </c>
      <c r="E18" s="11" t="s">
        <v>14</v>
      </c>
      <c r="F18" s="11">
        <v>2025.0</v>
      </c>
    </row>
    <row r="19">
      <c r="A19" s="11">
        <v>18.0</v>
      </c>
      <c r="B19" s="12" t="s">
        <v>379</v>
      </c>
      <c r="C19" s="14" t="s">
        <v>13</v>
      </c>
      <c r="D19" s="12" t="s">
        <v>293</v>
      </c>
      <c r="E19" s="11" t="s">
        <v>14</v>
      </c>
      <c r="F19" s="11">
        <v>2025.0</v>
      </c>
    </row>
    <row r="20">
      <c r="A20" s="11">
        <v>19.0</v>
      </c>
      <c r="B20" s="12" t="s">
        <v>336</v>
      </c>
      <c r="C20" s="14" t="s">
        <v>13</v>
      </c>
      <c r="D20" s="12" t="s">
        <v>293</v>
      </c>
      <c r="E20" s="11" t="s">
        <v>309</v>
      </c>
      <c r="F20" s="11">
        <v>2025.0</v>
      </c>
    </row>
    <row r="21">
      <c r="A21" s="11">
        <v>20.0</v>
      </c>
      <c r="B21" s="12" t="s">
        <v>382</v>
      </c>
      <c r="C21" s="13" t="s">
        <v>30</v>
      </c>
      <c r="D21" s="15" t="s">
        <v>384</v>
      </c>
      <c r="E21" s="11" t="s">
        <v>309</v>
      </c>
      <c r="F21" s="11">
        <v>2025.0</v>
      </c>
    </row>
    <row r="22">
      <c r="A22" s="11">
        <v>21.0</v>
      </c>
      <c r="B22" s="12" t="s">
        <v>390</v>
      </c>
      <c r="C22" s="14" t="s">
        <v>13</v>
      </c>
      <c r="D22" s="15" t="s">
        <v>392</v>
      </c>
      <c r="E22" s="11" t="s">
        <v>309</v>
      </c>
      <c r="F22" s="11">
        <v>2025.0</v>
      </c>
    </row>
    <row r="23">
      <c r="A23" s="11">
        <v>22.0</v>
      </c>
      <c r="B23" s="12" t="s">
        <v>399</v>
      </c>
      <c r="C23" s="13" t="s">
        <v>30</v>
      </c>
      <c r="D23" s="15" t="s">
        <v>402</v>
      </c>
      <c r="E23" s="11" t="s">
        <v>309</v>
      </c>
      <c r="F23" s="11">
        <v>2025.0</v>
      </c>
    </row>
  </sheetData>
  <hyperlinks>
    <hyperlink r:id="rId1" ref="D2"/>
    <hyperlink r:id="rId2" ref="D3"/>
    <hyperlink r:id="rId3" ref="D4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21"/>
    <hyperlink r:id="rId13" ref="D22"/>
    <hyperlink r:id="rId14" ref="D23"/>
  </hyperlinks>
  <drawing r:id="rId1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11">
        <v>1.0</v>
      </c>
      <c r="B2" s="12" t="s">
        <v>347</v>
      </c>
      <c r="C2" s="13" t="s">
        <v>30</v>
      </c>
      <c r="D2" s="15" t="s">
        <v>349</v>
      </c>
      <c r="E2" s="11" t="s">
        <v>14</v>
      </c>
      <c r="F2" s="11">
        <v>2023.0</v>
      </c>
    </row>
    <row r="3">
      <c r="A3" s="11">
        <v>2.0</v>
      </c>
      <c r="B3" s="12" t="s">
        <v>354</v>
      </c>
      <c r="C3" s="14" t="s">
        <v>13</v>
      </c>
      <c r="D3" s="12" t="s">
        <v>293</v>
      </c>
      <c r="E3" s="11" t="s">
        <v>14</v>
      </c>
      <c r="F3" s="11">
        <v>2023.0</v>
      </c>
    </row>
    <row r="4">
      <c r="A4" s="11">
        <v>3.0</v>
      </c>
      <c r="B4" s="12" t="s">
        <v>356</v>
      </c>
      <c r="C4" s="14" t="s">
        <v>13</v>
      </c>
      <c r="D4" s="15" t="s">
        <v>358</v>
      </c>
      <c r="E4" s="11" t="s">
        <v>309</v>
      </c>
      <c r="F4" s="11">
        <v>2023.0</v>
      </c>
    </row>
    <row r="5">
      <c r="A5" s="11">
        <v>4.0</v>
      </c>
      <c r="B5" s="12" t="s">
        <v>361</v>
      </c>
      <c r="C5" s="13" t="s">
        <v>30</v>
      </c>
      <c r="D5" s="15" t="s">
        <v>363</v>
      </c>
      <c r="E5" s="11" t="s">
        <v>309</v>
      </c>
      <c r="F5" s="11">
        <v>2023.0</v>
      </c>
    </row>
    <row r="6">
      <c r="A6" s="11">
        <v>5.0</v>
      </c>
      <c r="B6" s="12" t="s">
        <v>369</v>
      </c>
      <c r="C6" s="14" t="s">
        <v>13</v>
      </c>
      <c r="D6" s="15" t="s">
        <v>371</v>
      </c>
      <c r="E6" s="11" t="s">
        <v>309</v>
      </c>
      <c r="F6" s="11">
        <v>2023.0</v>
      </c>
    </row>
    <row r="7">
      <c r="A7" s="11">
        <v>6.0</v>
      </c>
      <c r="B7" s="12" t="s">
        <v>380</v>
      </c>
      <c r="C7" s="14" t="s">
        <v>13</v>
      </c>
      <c r="D7" s="15" t="s">
        <v>385</v>
      </c>
      <c r="E7" s="11" t="s">
        <v>309</v>
      </c>
      <c r="F7" s="11">
        <v>2023.0</v>
      </c>
    </row>
    <row r="8">
      <c r="A8" s="11">
        <v>7.0</v>
      </c>
      <c r="B8" s="12" t="s">
        <v>394</v>
      </c>
      <c r="C8" s="14" t="s">
        <v>13</v>
      </c>
      <c r="D8" s="12" t="s">
        <v>293</v>
      </c>
      <c r="E8" s="11" t="s">
        <v>14</v>
      </c>
      <c r="F8" s="11">
        <v>2025.0</v>
      </c>
    </row>
    <row r="9">
      <c r="A9" s="11">
        <v>8.0</v>
      </c>
      <c r="B9" s="12" t="s">
        <v>395</v>
      </c>
      <c r="C9" s="16" t="s">
        <v>21</v>
      </c>
      <c r="D9" s="12" t="s">
        <v>293</v>
      </c>
      <c r="E9" s="11" t="s">
        <v>14</v>
      </c>
      <c r="F9" s="11">
        <v>2025.0</v>
      </c>
    </row>
    <row r="10">
      <c r="A10" s="11">
        <v>9.0</v>
      </c>
      <c r="B10" s="12" t="s">
        <v>397</v>
      </c>
      <c r="C10" s="14" t="s">
        <v>13</v>
      </c>
      <c r="D10" s="12" t="s">
        <v>293</v>
      </c>
      <c r="E10" s="11" t="s">
        <v>309</v>
      </c>
      <c r="F10" s="11">
        <v>2025.0</v>
      </c>
    </row>
    <row r="11">
      <c r="A11" s="11">
        <v>10.0</v>
      </c>
      <c r="B11" s="12" t="s">
        <v>400</v>
      </c>
      <c r="C11" s="16" t="s">
        <v>21</v>
      </c>
      <c r="D11" s="12" t="s">
        <v>293</v>
      </c>
      <c r="E11" s="11" t="s">
        <v>309</v>
      </c>
      <c r="F11" s="11">
        <v>2025.0</v>
      </c>
    </row>
    <row r="12">
      <c r="A12" s="11">
        <v>11.0</v>
      </c>
      <c r="B12" s="12" t="s">
        <v>401</v>
      </c>
      <c r="C12" s="14" t="s">
        <v>13</v>
      </c>
      <c r="D12" s="15" t="s">
        <v>404</v>
      </c>
      <c r="E12" s="11" t="s">
        <v>309</v>
      </c>
      <c r="F12" s="11">
        <v>2025.0</v>
      </c>
    </row>
    <row r="13">
      <c r="A13" s="11">
        <v>12.0</v>
      </c>
      <c r="B13" s="12" t="s">
        <v>406</v>
      </c>
      <c r="C13" s="16" t="s">
        <v>21</v>
      </c>
      <c r="D13" s="12" t="s">
        <v>293</v>
      </c>
      <c r="E13" s="11" t="s">
        <v>309</v>
      </c>
      <c r="F13" s="11">
        <v>2025.0</v>
      </c>
    </row>
    <row r="14">
      <c r="A14" s="11">
        <v>13.0</v>
      </c>
      <c r="B14" s="12" t="s">
        <v>410</v>
      </c>
      <c r="C14" s="13" t="s">
        <v>30</v>
      </c>
      <c r="D14" s="15" t="s">
        <v>413</v>
      </c>
      <c r="E14" s="11" t="s">
        <v>309</v>
      </c>
      <c r="F14" s="11">
        <v>2025.0</v>
      </c>
    </row>
    <row r="15">
      <c r="A15" s="11">
        <v>14.0</v>
      </c>
      <c r="B15" s="12" t="s">
        <v>418</v>
      </c>
      <c r="C15" s="16" t="s">
        <v>21</v>
      </c>
      <c r="D15" s="12" t="s">
        <v>293</v>
      </c>
      <c r="E15" s="11" t="s">
        <v>309</v>
      </c>
      <c r="F15" s="11">
        <v>2025.0</v>
      </c>
    </row>
    <row r="16">
      <c r="A16" s="11">
        <v>15.0</v>
      </c>
      <c r="B16" s="12" t="s">
        <v>421</v>
      </c>
      <c r="C16" s="14" t="s">
        <v>13</v>
      </c>
      <c r="D16" s="15" t="s">
        <v>424</v>
      </c>
      <c r="E16" s="11" t="s">
        <v>309</v>
      </c>
      <c r="F16" s="11">
        <v>2025.0</v>
      </c>
    </row>
    <row r="17">
      <c r="A17" s="11">
        <v>16.0</v>
      </c>
      <c r="B17" s="12" t="s">
        <v>428</v>
      </c>
      <c r="C17" s="14" t="s">
        <v>13</v>
      </c>
      <c r="D17" s="12" t="s">
        <v>293</v>
      </c>
      <c r="E17" s="11" t="s">
        <v>309</v>
      </c>
      <c r="F17" s="11">
        <v>2025.0</v>
      </c>
    </row>
    <row r="18">
      <c r="A18" s="11">
        <v>17.0</v>
      </c>
      <c r="B18" s="12" t="s">
        <v>429</v>
      </c>
      <c r="C18" s="14" t="s">
        <v>13</v>
      </c>
      <c r="D18" s="15" t="s">
        <v>430</v>
      </c>
      <c r="E18" s="11" t="s">
        <v>309</v>
      </c>
      <c r="F18" s="11">
        <v>2025.0</v>
      </c>
    </row>
    <row r="19">
      <c r="A19" s="11">
        <v>18.0</v>
      </c>
      <c r="B19" s="12" t="s">
        <v>436</v>
      </c>
      <c r="C19" s="14" t="s">
        <v>13</v>
      </c>
      <c r="D19" s="12" t="s">
        <v>293</v>
      </c>
      <c r="E19" s="11" t="s">
        <v>14</v>
      </c>
      <c r="F19" s="11">
        <v>2026.0</v>
      </c>
    </row>
    <row r="20">
      <c r="A20" s="11">
        <v>19.0</v>
      </c>
      <c r="B20" s="12" t="s">
        <v>438</v>
      </c>
      <c r="C20" s="14" t="s">
        <v>13</v>
      </c>
      <c r="D20" s="12" t="s">
        <v>293</v>
      </c>
      <c r="E20" s="11" t="s">
        <v>14</v>
      </c>
      <c r="F20" s="11">
        <v>2026.0</v>
      </c>
    </row>
    <row r="21">
      <c r="A21" s="11">
        <v>20.0</v>
      </c>
      <c r="B21" s="12" t="s">
        <v>290</v>
      </c>
      <c r="C21" s="13" t="s">
        <v>30</v>
      </c>
      <c r="D21" s="15" t="s">
        <v>440</v>
      </c>
      <c r="E21" s="11" t="s">
        <v>309</v>
      </c>
      <c r="F21" s="11">
        <v>2026.0</v>
      </c>
    </row>
    <row r="22">
      <c r="A22" s="11">
        <v>21.0</v>
      </c>
      <c r="B22" s="12" t="s">
        <v>445</v>
      </c>
      <c r="C22" s="13" t="s">
        <v>30</v>
      </c>
      <c r="D22" s="15" t="s">
        <v>448</v>
      </c>
      <c r="E22" s="11" t="s">
        <v>309</v>
      </c>
      <c r="F22" s="11">
        <v>2026.0</v>
      </c>
    </row>
    <row r="23">
      <c r="A23" s="11">
        <v>22.0</v>
      </c>
      <c r="B23" s="12" t="s">
        <v>451</v>
      </c>
      <c r="C23" s="14" t="s">
        <v>13</v>
      </c>
      <c r="D23" s="15" t="s">
        <v>453</v>
      </c>
      <c r="E23" s="11" t="s">
        <v>309</v>
      </c>
      <c r="F23" s="11">
        <v>2026.0</v>
      </c>
    </row>
    <row r="24">
      <c r="A24" s="11">
        <v>23.0</v>
      </c>
      <c r="B24" s="12" t="s">
        <v>460</v>
      </c>
      <c r="C24" s="13" t="s">
        <v>30</v>
      </c>
      <c r="D24" s="15" t="s">
        <v>462</v>
      </c>
      <c r="E24" s="11" t="s">
        <v>309</v>
      </c>
      <c r="F24" s="11">
        <v>2026.0</v>
      </c>
    </row>
    <row r="25">
      <c r="A25" s="11">
        <v>24.0</v>
      </c>
      <c r="B25" s="12" t="s">
        <v>464</v>
      </c>
      <c r="C25" s="14" t="s">
        <v>13</v>
      </c>
      <c r="D25" s="12" t="s">
        <v>293</v>
      </c>
      <c r="E25" s="11" t="s">
        <v>309</v>
      </c>
      <c r="F25" s="11">
        <v>2026.0</v>
      </c>
    </row>
    <row r="26">
      <c r="A26" s="11">
        <v>25.0</v>
      </c>
      <c r="B26" s="12" t="s">
        <v>468</v>
      </c>
      <c r="C26" s="13" t="s">
        <v>30</v>
      </c>
      <c r="D26" s="15" t="s">
        <v>469</v>
      </c>
      <c r="E26" s="11" t="s">
        <v>309</v>
      </c>
      <c r="F26" s="11">
        <v>2026.0</v>
      </c>
    </row>
    <row r="27">
      <c r="A27" s="11">
        <v>26.0</v>
      </c>
      <c r="B27" s="12" t="s">
        <v>476</v>
      </c>
      <c r="C27" s="14" t="s">
        <v>13</v>
      </c>
      <c r="D27" s="12" t="s">
        <v>293</v>
      </c>
      <c r="E27" s="11" t="s">
        <v>14</v>
      </c>
      <c r="F27" s="11">
        <v>2026.0</v>
      </c>
    </row>
    <row r="28">
      <c r="A28" s="11">
        <v>27.0</v>
      </c>
      <c r="B28" s="12" t="s">
        <v>478</v>
      </c>
      <c r="C28" s="14" t="s">
        <v>13</v>
      </c>
      <c r="D28" s="15" t="s">
        <v>480</v>
      </c>
      <c r="E28" s="11" t="s">
        <v>14</v>
      </c>
      <c r="F28" s="11">
        <v>2026.0</v>
      </c>
    </row>
    <row r="29">
      <c r="A29" s="11">
        <v>28.0</v>
      </c>
      <c r="B29" s="12" t="s">
        <v>486</v>
      </c>
      <c r="C29" s="14" t="s">
        <v>13</v>
      </c>
      <c r="D29" s="12" t="s">
        <v>293</v>
      </c>
      <c r="E29" s="11" t="s">
        <v>309</v>
      </c>
      <c r="F29" s="11">
        <v>2026.0</v>
      </c>
    </row>
    <row r="30">
      <c r="A30" s="11">
        <v>29.0</v>
      </c>
      <c r="B30" s="12" t="s">
        <v>487</v>
      </c>
      <c r="C30" s="16" t="s">
        <v>21</v>
      </c>
      <c r="D30" s="12" t="s">
        <v>293</v>
      </c>
      <c r="E30" s="11" t="s">
        <v>309</v>
      </c>
      <c r="F30" s="11">
        <v>2026.0</v>
      </c>
    </row>
    <row r="31">
      <c r="A31" s="11">
        <v>30.0</v>
      </c>
      <c r="B31" s="12" t="s">
        <v>488</v>
      </c>
      <c r="C31" s="14" t="s">
        <v>13</v>
      </c>
      <c r="D31" s="12" t="s">
        <v>293</v>
      </c>
      <c r="E31" s="11" t="s">
        <v>309</v>
      </c>
      <c r="F31" s="11">
        <v>2026.0</v>
      </c>
    </row>
    <row r="32">
      <c r="A32" s="11">
        <v>31.0</v>
      </c>
      <c r="B32" s="12" t="s">
        <v>489</v>
      </c>
      <c r="C32" s="16" t="s">
        <v>21</v>
      </c>
      <c r="D32" s="12" t="s">
        <v>293</v>
      </c>
      <c r="E32" s="11" t="s">
        <v>309</v>
      </c>
      <c r="F32" s="11">
        <v>2026.0</v>
      </c>
    </row>
    <row r="33">
      <c r="A33" s="11">
        <v>32.0</v>
      </c>
      <c r="B33" s="12" t="s">
        <v>202</v>
      </c>
      <c r="C33" s="14" t="s">
        <v>13</v>
      </c>
      <c r="D33" s="15" t="s">
        <v>490</v>
      </c>
      <c r="E33" s="11" t="s">
        <v>309</v>
      </c>
      <c r="F33" s="11">
        <v>2026.0</v>
      </c>
    </row>
    <row r="34">
      <c r="A34" s="11">
        <v>33.0</v>
      </c>
      <c r="B34" s="12" t="s">
        <v>491</v>
      </c>
      <c r="C34" s="14" t="s">
        <v>13</v>
      </c>
      <c r="D34" s="12" t="s">
        <v>293</v>
      </c>
      <c r="E34" s="11" t="s">
        <v>309</v>
      </c>
      <c r="F34" s="11">
        <v>2026.0</v>
      </c>
    </row>
    <row r="35">
      <c r="A35" s="11">
        <v>34.0</v>
      </c>
      <c r="B35" s="12" t="s">
        <v>493</v>
      </c>
      <c r="C35" s="16" t="s">
        <v>21</v>
      </c>
      <c r="D35" s="15" t="s">
        <v>494</v>
      </c>
      <c r="E35" s="11" t="s">
        <v>309</v>
      </c>
      <c r="F35" s="11">
        <v>2026.0</v>
      </c>
    </row>
    <row r="36">
      <c r="A36" s="11">
        <v>35.0</v>
      </c>
      <c r="B36" s="12" t="s">
        <v>496</v>
      </c>
      <c r="C36" s="16" t="s">
        <v>21</v>
      </c>
      <c r="D36" s="15" t="s">
        <v>497</v>
      </c>
      <c r="E36" s="11" t="s">
        <v>309</v>
      </c>
      <c r="F36" s="11">
        <v>2026.0</v>
      </c>
    </row>
  </sheetData>
  <hyperlinks>
    <hyperlink r:id="rId1" ref="D2"/>
    <hyperlink r:id="rId2" ref="D4"/>
    <hyperlink r:id="rId3" ref="D5"/>
    <hyperlink r:id="rId4" ref="D6"/>
    <hyperlink r:id="rId5" ref="D7"/>
    <hyperlink r:id="rId6" ref="D12"/>
    <hyperlink r:id="rId7" ref="D14"/>
    <hyperlink r:id="rId8" ref="D16"/>
    <hyperlink r:id="rId9" ref="D18"/>
    <hyperlink r:id="rId10" ref="D21"/>
    <hyperlink r:id="rId11" ref="D22"/>
    <hyperlink r:id="rId12" ref="D23"/>
    <hyperlink r:id="rId13" ref="D24"/>
    <hyperlink r:id="rId14" ref="D26"/>
    <hyperlink r:id="rId15" ref="D28"/>
    <hyperlink r:id="rId16" ref="D33"/>
    <hyperlink r:id="rId17" ref="D35"/>
    <hyperlink r:id="rId18" ref="D36"/>
  </hyperlinks>
  <drawing r:id="rId19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11">
        <v>1.0</v>
      </c>
      <c r="B2" s="12" t="s">
        <v>372</v>
      </c>
      <c r="C2" s="14" t="s">
        <v>13</v>
      </c>
      <c r="D2" s="15" t="s">
        <v>376</v>
      </c>
      <c r="E2" s="11" t="s">
        <v>14</v>
      </c>
      <c r="F2" s="11">
        <v>2021.0</v>
      </c>
    </row>
    <row r="3">
      <c r="A3" s="11">
        <v>2.0</v>
      </c>
      <c r="B3" s="12" t="s">
        <v>381</v>
      </c>
      <c r="C3" s="14" t="s">
        <v>13</v>
      </c>
      <c r="D3" s="12" t="s">
        <v>293</v>
      </c>
      <c r="E3" s="11" t="s">
        <v>14</v>
      </c>
      <c r="F3" s="11">
        <v>2021.0</v>
      </c>
    </row>
    <row r="4">
      <c r="A4" s="11">
        <v>3.0</v>
      </c>
      <c r="B4" s="12" t="s">
        <v>383</v>
      </c>
      <c r="C4" s="14" t="s">
        <v>13</v>
      </c>
      <c r="D4" s="15" t="s">
        <v>386</v>
      </c>
      <c r="E4" s="11" t="s">
        <v>309</v>
      </c>
      <c r="F4" s="11">
        <v>2021.0</v>
      </c>
    </row>
    <row r="5">
      <c r="A5" s="11">
        <v>4.0</v>
      </c>
      <c r="B5" s="12" t="s">
        <v>391</v>
      </c>
      <c r="C5" s="13" t="s">
        <v>30</v>
      </c>
      <c r="D5" s="15" t="s">
        <v>393</v>
      </c>
      <c r="E5" s="11" t="s">
        <v>309</v>
      </c>
      <c r="F5" s="11">
        <v>2021.0</v>
      </c>
    </row>
    <row r="6">
      <c r="A6" s="11">
        <v>5.0</v>
      </c>
      <c r="B6" s="12" t="s">
        <v>403</v>
      </c>
      <c r="C6" s="13" t="s">
        <v>30</v>
      </c>
      <c r="D6" s="15" t="s">
        <v>405</v>
      </c>
      <c r="E6" s="11" t="s">
        <v>309</v>
      </c>
      <c r="F6" s="11">
        <v>2021.0</v>
      </c>
    </row>
    <row r="7">
      <c r="A7" s="11">
        <v>6.0</v>
      </c>
      <c r="B7" s="12" t="s">
        <v>408</v>
      </c>
      <c r="C7" s="13" t="s">
        <v>30</v>
      </c>
      <c r="D7" s="15" t="s">
        <v>411</v>
      </c>
      <c r="E7" s="11" t="s">
        <v>309</v>
      </c>
      <c r="F7" s="11">
        <v>2021.0</v>
      </c>
    </row>
    <row r="8">
      <c r="A8" s="11">
        <v>7.0</v>
      </c>
      <c r="B8" s="12" t="s">
        <v>419</v>
      </c>
      <c r="C8" s="13" t="s">
        <v>30</v>
      </c>
      <c r="D8" s="15" t="s">
        <v>422</v>
      </c>
      <c r="E8" s="11" t="s">
        <v>14</v>
      </c>
      <c r="F8" s="11">
        <v>2021.0</v>
      </c>
    </row>
    <row r="9">
      <c r="A9" s="11">
        <v>8.0</v>
      </c>
      <c r="B9" s="12" t="s">
        <v>432</v>
      </c>
      <c r="C9" s="14" t="s">
        <v>13</v>
      </c>
      <c r="D9" s="12" t="s">
        <v>293</v>
      </c>
      <c r="E9" s="11" t="s">
        <v>309</v>
      </c>
      <c r="F9" s="11">
        <v>2021.0</v>
      </c>
    </row>
    <row r="10">
      <c r="A10" s="11">
        <v>9.0</v>
      </c>
      <c r="B10" s="12" t="s">
        <v>433</v>
      </c>
      <c r="C10" s="14" t="s">
        <v>13</v>
      </c>
      <c r="D10" s="15" t="s">
        <v>434</v>
      </c>
      <c r="E10" s="11" t="s">
        <v>14</v>
      </c>
      <c r="F10" s="11">
        <v>2023.0</v>
      </c>
    </row>
    <row r="11">
      <c r="A11" s="11">
        <v>10.0</v>
      </c>
      <c r="B11" s="12" t="s">
        <v>435</v>
      </c>
      <c r="C11" s="14" t="s">
        <v>13</v>
      </c>
      <c r="D11" s="12" t="s">
        <v>293</v>
      </c>
      <c r="E11" s="11" t="s">
        <v>14</v>
      </c>
      <c r="F11" s="11">
        <v>2023.0</v>
      </c>
    </row>
    <row r="12">
      <c r="A12" s="11">
        <v>11.0</v>
      </c>
      <c r="B12" s="12" t="s">
        <v>437</v>
      </c>
      <c r="C12" s="13" t="s">
        <v>30</v>
      </c>
      <c r="D12" s="15" t="s">
        <v>439</v>
      </c>
      <c r="E12" s="11" t="s">
        <v>14</v>
      </c>
      <c r="F12" s="11">
        <v>2024.0</v>
      </c>
    </row>
    <row r="13">
      <c r="A13" s="11">
        <v>12.0</v>
      </c>
      <c r="B13" s="12" t="s">
        <v>444</v>
      </c>
      <c r="C13" s="14" t="s">
        <v>13</v>
      </c>
      <c r="D13" s="15" t="s">
        <v>447</v>
      </c>
      <c r="E13" s="11" t="s">
        <v>309</v>
      </c>
      <c r="F13" s="11">
        <v>2024.0</v>
      </c>
    </row>
    <row r="14">
      <c r="A14" s="11">
        <v>13.0</v>
      </c>
      <c r="B14" s="12" t="s">
        <v>454</v>
      </c>
      <c r="C14" s="13" t="s">
        <v>30</v>
      </c>
      <c r="D14" s="12" t="s">
        <v>293</v>
      </c>
      <c r="E14" s="11" t="s">
        <v>14</v>
      </c>
      <c r="F14" s="11">
        <v>2026.0</v>
      </c>
    </row>
    <row r="15">
      <c r="A15" s="11">
        <v>14.0</v>
      </c>
      <c r="B15" s="12" t="s">
        <v>456</v>
      </c>
      <c r="C15" s="13" t="s">
        <v>30</v>
      </c>
      <c r="D15" s="12" t="s">
        <v>293</v>
      </c>
      <c r="E15" s="11" t="s">
        <v>14</v>
      </c>
      <c r="F15" s="11">
        <v>2026.0</v>
      </c>
    </row>
    <row r="16">
      <c r="A16" s="11">
        <v>15.0</v>
      </c>
      <c r="B16" s="12" t="s">
        <v>458</v>
      </c>
      <c r="C16" s="14" t="s">
        <v>13</v>
      </c>
      <c r="D16" s="12" t="s">
        <v>293</v>
      </c>
      <c r="E16" s="11" t="s">
        <v>309</v>
      </c>
      <c r="F16" s="11">
        <v>2026.0</v>
      </c>
    </row>
    <row r="17">
      <c r="A17" s="11">
        <v>16.0</v>
      </c>
      <c r="B17" s="12" t="s">
        <v>459</v>
      </c>
      <c r="C17" s="14" t="s">
        <v>13</v>
      </c>
      <c r="D17" s="15" t="s">
        <v>461</v>
      </c>
      <c r="E17" s="11" t="s">
        <v>309</v>
      </c>
      <c r="F17" s="11">
        <v>2026.0</v>
      </c>
    </row>
    <row r="18">
      <c r="A18" s="11">
        <v>17.0</v>
      </c>
      <c r="B18" s="12" t="s">
        <v>466</v>
      </c>
      <c r="C18" s="14" t="s">
        <v>13</v>
      </c>
      <c r="D18" s="12" t="s">
        <v>293</v>
      </c>
      <c r="E18" s="11" t="s">
        <v>309</v>
      </c>
      <c r="F18" s="11">
        <v>2026.0</v>
      </c>
    </row>
    <row r="19">
      <c r="A19" s="11">
        <v>18.0</v>
      </c>
      <c r="B19" s="12" t="s">
        <v>470</v>
      </c>
      <c r="C19" s="13" t="s">
        <v>30</v>
      </c>
      <c r="D19" s="12" t="s">
        <v>293</v>
      </c>
      <c r="E19" s="11" t="s">
        <v>14</v>
      </c>
      <c r="F19" s="11">
        <v>2027.0</v>
      </c>
    </row>
    <row r="20">
      <c r="A20" s="11">
        <v>19.0</v>
      </c>
      <c r="B20" s="12" t="s">
        <v>472</v>
      </c>
      <c r="C20" s="14" t="s">
        <v>13</v>
      </c>
      <c r="D20" s="12" t="s">
        <v>293</v>
      </c>
      <c r="E20" s="11" t="s">
        <v>14</v>
      </c>
      <c r="F20" s="11">
        <v>2027.0</v>
      </c>
    </row>
    <row r="21">
      <c r="A21" s="11">
        <v>20.0</v>
      </c>
      <c r="B21" s="12" t="s">
        <v>473</v>
      </c>
      <c r="C21" s="14" t="s">
        <v>13</v>
      </c>
      <c r="D21" s="12" t="s">
        <v>293</v>
      </c>
      <c r="E21" s="11" t="s">
        <v>14</v>
      </c>
      <c r="F21" s="11">
        <v>2027.0</v>
      </c>
    </row>
    <row r="22">
      <c r="A22" s="11">
        <v>21.0</v>
      </c>
      <c r="B22" s="12" t="s">
        <v>474</v>
      </c>
      <c r="C22" s="13" t="s">
        <v>30</v>
      </c>
      <c r="D22" s="12" t="s">
        <v>293</v>
      </c>
      <c r="E22" s="11" t="s">
        <v>14</v>
      </c>
      <c r="F22" s="11">
        <v>2027.0</v>
      </c>
    </row>
    <row r="23">
      <c r="A23" s="11">
        <v>22.0</v>
      </c>
      <c r="B23" s="12" t="s">
        <v>477</v>
      </c>
      <c r="C23" s="13" t="s">
        <v>30</v>
      </c>
      <c r="D23" s="12" t="s">
        <v>293</v>
      </c>
      <c r="E23" s="11" t="s">
        <v>14</v>
      </c>
      <c r="F23" s="11">
        <v>2027.0</v>
      </c>
    </row>
    <row r="24">
      <c r="A24" s="11">
        <v>23.0</v>
      </c>
      <c r="B24" s="12" t="s">
        <v>479</v>
      </c>
      <c r="C24" s="14" t="s">
        <v>13</v>
      </c>
      <c r="D24" s="12" t="s">
        <v>293</v>
      </c>
      <c r="E24" s="11" t="s">
        <v>14</v>
      </c>
      <c r="F24" s="11">
        <v>2027.0</v>
      </c>
    </row>
  </sheetData>
  <hyperlinks>
    <hyperlink r:id="rId1" ref="D2"/>
    <hyperlink r:id="rId2" ref="D4"/>
    <hyperlink r:id="rId3" ref="D5"/>
    <hyperlink r:id="rId4" ref="D6"/>
    <hyperlink r:id="rId5" ref="D7"/>
    <hyperlink r:id="rId6" ref="D8"/>
    <hyperlink r:id="rId7" ref="D10"/>
    <hyperlink r:id="rId8" ref="D12"/>
    <hyperlink r:id="rId9" ref="D13"/>
    <hyperlink r:id="rId10" ref="D17"/>
  </hyperlinks>
  <drawing r:id="rId1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11">
        <v>1.0</v>
      </c>
      <c r="B2" s="12" t="s">
        <v>492</v>
      </c>
      <c r="C2" s="13" t="s">
        <v>30</v>
      </c>
      <c r="D2" s="12" t="s">
        <v>293</v>
      </c>
      <c r="E2" s="11" t="s">
        <v>14</v>
      </c>
      <c r="F2" s="11">
        <v>2026.0</v>
      </c>
    </row>
    <row r="3">
      <c r="A3" s="11">
        <v>2.0</v>
      </c>
      <c r="B3" s="12" t="s">
        <v>495</v>
      </c>
      <c r="C3" s="13" t="s">
        <v>30</v>
      </c>
      <c r="D3" s="12" t="s">
        <v>293</v>
      </c>
      <c r="E3" s="11" t="s">
        <v>14</v>
      </c>
      <c r="F3" s="11">
        <v>2026.0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11">
        <v>1.0</v>
      </c>
      <c r="B2" s="12" t="s">
        <v>498</v>
      </c>
      <c r="C2" s="14" t="s">
        <v>13</v>
      </c>
      <c r="D2" s="15" t="s">
        <v>499</v>
      </c>
      <c r="E2" s="11" t="s">
        <v>309</v>
      </c>
      <c r="F2" s="11">
        <v>2026.0</v>
      </c>
    </row>
    <row r="3">
      <c r="A3" s="11">
        <v>2.0</v>
      </c>
      <c r="B3" s="12" t="s">
        <v>500</v>
      </c>
      <c r="C3" s="14" t="s">
        <v>13</v>
      </c>
      <c r="D3" s="15" t="s">
        <v>501</v>
      </c>
      <c r="E3" s="11" t="s">
        <v>309</v>
      </c>
      <c r="F3" s="11">
        <v>2026.0</v>
      </c>
    </row>
  </sheetData>
  <hyperlinks>
    <hyperlink r:id="rId1" ref="D2"/>
    <hyperlink r:id="rId2" ref="D3"/>
  </hyperlinks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4">
        <v>1.0</v>
      </c>
      <c r="B2" s="12" t="s">
        <v>502</v>
      </c>
      <c r="C2" s="13" t="s">
        <v>30</v>
      </c>
      <c r="D2" s="12" t="s">
        <v>293</v>
      </c>
      <c r="E2" s="11" t="s">
        <v>309</v>
      </c>
      <c r="F2" s="11">
        <v>2021.0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11">
        <v>1.0</v>
      </c>
      <c r="B2" s="12" t="s">
        <v>320</v>
      </c>
      <c r="C2" s="14" t="s">
        <v>13</v>
      </c>
      <c r="D2" s="15" t="s">
        <v>503</v>
      </c>
      <c r="E2" s="11" t="s">
        <v>309</v>
      </c>
      <c r="F2" s="11">
        <v>2026.0</v>
      </c>
    </row>
    <row r="3">
      <c r="A3" s="11">
        <v>2.0</v>
      </c>
      <c r="B3" s="12" t="s">
        <v>68</v>
      </c>
      <c r="C3" s="14" t="s">
        <v>13</v>
      </c>
      <c r="D3" s="15" t="s">
        <v>504</v>
      </c>
      <c r="E3" s="11" t="s">
        <v>309</v>
      </c>
      <c r="F3" s="11">
        <v>2026.0</v>
      </c>
    </row>
  </sheetData>
  <hyperlinks>
    <hyperlink r:id="rId1" ref="D2"/>
    <hyperlink r:id="rId2" ref="D3"/>
  </hyperlinks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11">
        <v>1.0</v>
      </c>
      <c r="B2" s="12" t="s">
        <v>505</v>
      </c>
      <c r="C2" s="13" t="s">
        <v>30</v>
      </c>
      <c r="D2" s="15" t="s">
        <v>506</v>
      </c>
      <c r="E2" s="11" t="s">
        <v>309</v>
      </c>
      <c r="F2" s="11">
        <v>2021.0</v>
      </c>
    </row>
    <row r="3">
      <c r="A3" s="11">
        <v>2.0</v>
      </c>
      <c r="B3" s="12" t="s">
        <v>507</v>
      </c>
      <c r="C3" s="14" t="s">
        <v>13</v>
      </c>
      <c r="D3" s="12" t="s">
        <v>293</v>
      </c>
      <c r="E3" s="11" t="s">
        <v>14</v>
      </c>
      <c r="F3" s="11">
        <v>2025.0</v>
      </c>
    </row>
    <row r="4">
      <c r="A4" s="11">
        <v>3.0</v>
      </c>
      <c r="B4" s="12" t="s">
        <v>508</v>
      </c>
      <c r="C4" s="13" t="s">
        <v>30</v>
      </c>
      <c r="D4" s="12" t="s">
        <v>293</v>
      </c>
      <c r="E4" s="11" t="s">
        <v>14</v>
      </c>
      <c r="F4" s="11">
        <v>2025.0</v>
      </c>
    </row>
    <row r="5">
      <c r="A5" s="11">
        <v>4.0</v>
      </c>
      <c r="B5" s="12" t="s">
        <v>509</v>
      </c>
      <c r="C5" s="14" t="s">
        <v>13</v>
      </c>
      <c r="D5" s="12" t="s">
        <v>293</v>
      </c>
      <c r="E5" s="11" t="s">
        <v>14</v>
      </c>
      <c r="F5" s="11">
        <v>2025.0</v>
      </c>
    </row>
    <row r="6">
      <c r="A6" s="11">
        <v>5.0</v>
      </c>
      <c r="B6" s="12" t="s">
        <v>510</v>
      </c>
      <c r="C6" s="13" t="s">
        <v>30</v>
      </c>
      <c r="D6" s="12" t="s">
        <v>293</v>
      </c>
      <c r="E6" s="11" t="s">
        <v>14</v>
      </c>
      <c r="F6" s="11">
        <v>2027.0</v>
      </c>
    </row>
    <row r="7">
      <c r="A7" s="11">
        <v>6.0</v>
      </c>
      <c r="B7" s="12" t="s">
        <v>511</v>
      </c>
      <c r="C7" s="13" t="s">
        <v>30</v>
      </c>
      <c r="D7" s="12" t="s">
        <v>293</v>
      </c>
      <c r="E7" s="11" t="s">
        <v>14</v>
      </c>
      <c r="F7" s="11">
        <v>2027.0</v>
      </c>
    </row>
    <row r="8">
      <c r="A8" s="11">
        <v>7.0</v>
      </c>
      <c r="B8" s="12" t="s">
        <v>510</v>
      </c>
      <c r="C8" s="14" t="s">
        <v>13</v>
      </c>
      <c r="D8" s="12" t="s">
        <v>293</v>
      </c>
      <c r="E8" s="11" t="s">
        <v>14</v>
      </c>
      <c r="F8" s="11">
        <v>2027.0</v>
      </c>
    </row>
    <row r="9">
      <c r="A9" s="11">
        <v>8.0</v>
      </c>
      <c r="B9" s="12" t="s">
        <v>512</v>
      </c>
      <c r="C9" s="14" t="s">
        <v>13</v>
      </c>
      <c r="D9" s="12" t="s">
        <v>293</v>
      </c>
      <c r="E9" s="11" t="s">
        <v>14</v>
      </c>
      <c r="F9" s="11">
        <v>2027.0</v>
      </c>
    </row>
    <row r="10">
      <c r="A10" s="11">
        <v>9.0</v>
      </c>
      <c r="B10" s="12" t="s">
        <v>513</v>
      </c>
      <c r="C10" s="14" t="s">
        <v>13</v>
      </c>
      <c r="D10" s="15" t="s">
        <v>514</v>
      </c>
      <c r="E10" s="11" t="s">
        <v>309</v>
      </c>
      <c r="F10" s="11">
        <v>2027.0</v>
      </c>
    </row>
    <row r="11">
      <c r="A11" s="11">
        <v>10.0</v>
      </c>
      <c r="B11" s="12" t="s">
        <v>515</v>
      </c>
      <c r="C11" s="14" t="s">
        <v>13</v>
      </c>
      <c r="D11" s="15" t="s">
        <v>516</v>
      </c>
      <c r="E11" s="11" t="s">
        <v>309</v>
      </c>
      <c r="F11" s="11">
        <v>2027.0</v>
      </c>
    </row>
    <row r="12">
      <c r="A12" s="11">
        <v>11.0</v>
      </c>
      <c r="B12" s="12" t="s">
        <v>517</v>
      </c>
      <c r="C12" s="13" t="s">
        <v>30</v>
      </c>
      <c r="D12" s="12" t="s">
        <v>293</v>
      </c>
      <c r="E12" s="11" t="s">
        <v>14</v>
      </c>
      <c r="F12" s="11">
        <v>2027.0</v>
      </c>
    </row>
    <row r="13">
      <c r="A13" s="11">
        <v>12.0</v>
      </c>
      <c r="B13" s="12" t="s">
        <v>518</v>
      </c>
      <c r="C13" s="13" t="s">
        <v>30</v>
      </c>
      <c r="D13" s="12" t="s">
        <v>293</v>
      </c>
      <c r="E13" s="11" t="s">
        <v>14</v>
      </c>
      <c r="F13" s="11">
        <v>2027.0</v>
      </c>
    </row>
    <row r="14">
      <c r="A14" s="11">
        <v>13.0</v>
      </c>
      <c r="B14" s="12" t="s">
        <v>519</v>
      </c>
      <c r="C14" s="13" t="s">
        <v>30</v>
      </c>
      <c r="D14" s="15" t="s">
        <v>520</v>
      </c>
      <c r="E14" s="11" t="s">
        <v>309</v>
      </c>
      <c r="F14" s="11">
        <v>2026.0</v>
      </c>
    </row>
  </sheetData>
  <hyperlinks>
    <hyperlink r:id="rId1" ref="D2"/>
    <hyperlink r:id="rId2" ref="D10"/>
    <hyperlink r:id="rId3" ref="D11"/>
    <hyperlink r:id="rId4" ref="D14"/>
  </hyperlinks>
  <drawing r:id="rId5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4">
        <v>1.0</v>
      </c>
      <c r="B2" s="4" t="s">
        <v>521</v>
      </c>
      <c r="C2" s="4" t="s">
        <v>13</v>
      </c>
      <c r="D2" s="17" t="s">
        <v>522</v>
      </c>
      <c r="E2" s="4" t="s">
        <v>14</v>
      </c>
      <c r="F2" s="4">
        <v>2025.0</v>
      </c>
    </row>
    <row r="3">
      <c r="A3" s="4">
        <v>2.0</v>
      </c>
      <c r="B3" s="4" t="s">
        <v>523</v>
      </c>
      <c r="D3" s="10" t="s">
        <v>524</v>
      </c>
      <c r="E3" s="4" t="s">
        <v>14</v>
      </c>
      <c r="F3" s="4">
        <v>2025.0</v>
      </c>
    </row>
    <row r="4">
      <c r="A4" s="4">
        <v>3.0</v>
      </c>
      <c r="B4" s="4" t="s">
        <v>525</v>
      </c>
      <c r="C4" s="4" t="s">
        <v>30</v>
      </c>
      <c r="E4" s="4" t="s">
        <v>14</v>
      </c>
      <c r="F4" s="4">
        <v>2025.0</v>
      </c>
    </row>
  </sheetData>
  <hyperlinks>
    <hyperlink r:id="rId1" ref="D2"/>
    <hyperlink r:id="rId2" ref="D3"/>
  </hyperlinks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526</v>
      </c>
    </row>
    <row r="2">
      <c r="A2" s="19">
        <v>1.0</v>
      </c>
      <c r="B2" s="20" t="s">
        <v>527</v>
      </c>
      <c r="C2" s="20" t="s">
        <v>21</v>
      </c>
      <c r="D2" s="21" t="str">
        <f>HYPERLINK("https://leetcode.com/problems/count-submatrices-with-all-ones/","https://leetcode.com/problems/count-submatrices-with-all-ones/")</f>
        <v>https://leetcode.com/problems/count-submatrices-with-all-ones/</v>
      </c>
      <c r="E2" s="20" t="s">
        <v>529</v>
      </c>
      <c r="F2" s="19">
        <v>2021.0</v>
      </c>
      <c r="G2" s="22"/>
    </row>
    <row r="3">
      <c r="A3" s="19">
        <v>2.0</v>
      </c>
      <c r="B3" s="20" t="s">
        <v>531</v>
      </c>
      <c r="C3" s="20" t="s">
        <v>13</v>
      </c>
      <c r="D3" s="21" t="str">
        <f>HYPERLINK("https://leetcode.com/problems/number-of-islands/","https://leetcode.com/problems/number-of-islands/")</f>
        <v>https://leetcode.com/problems/number-of-islands/</v>
      </c>
      <c r="E3" s="20" t="s">
        <v>529</v>
      </c>
      <c r="F3" s="19">
        <v>2021.0</v>
      </c>
      <c r="G3" s="21" t="str">
        <f>HYPERLINK("https://www.youtube.com/watch?v=pV2kpPD66nE","https://www.youtube.com/watch?v=pV2kpPD66nE")</f>
        <v>https://www.youtube.com/watch?v=pV2kpPD66nE</v>
      </c>
    </row>
    <row r="4">
      <c r="A4" s="19">
        <v>3.0</v>
      </c>
      <c r="B4" s="20" t="s">
        <v>534</v>
      </c>
      <c r="C4" s="20" t="s">
        <v>13</v>
      </c>
      <c r="D4" s="21" t="str">
        <f>HYPERLINK("https://leetcode.com/problems/backspace-string-compare/","https://leetcode.com/problems/backspace-string-compare/")</f>
        <v>https://leetcode.com/problems/backspace-string-compare/</v>
      </c>
      <c r="E4" s="20" t="s">
        <v>529</v>
      </c>
      <c r="F4" s="19">
        <v>2021.0</v>
      </c>
      <c r="G4" s="21" t="str">
        <f>HYPERLINK("https://www.youtube.com/watch?v=k2qrymM_DOo","https://www.youtube.com/watch?v=k2qrymM_DOo")</f>
        <v>https://www.youtube.com/watch?v=k2qrymM_DOo</v>
      </c>
    </row>
    <row r="5">
      <c r="A5" s="19">
        <v>4.0</v>
      </c>
      <c r="B5" s="20" t="s">
        <v>537</v>
      </c>
      <c r="C5" s="20" t="s">
        <v>21</v>
      </c>
      <c r="D5" s="21" t="str">
        <f>HYPERLINK("https://leetcode.com/problems/jump-game-iv/","https://leetcode.com/problems/jump-game-iv/")</f>
        <v>https://leetcode.com/problems/jump-game-iv/</v>
      </c>
      <c r="E5" s="20" t="s">
        <v>529</v>
      </c>
      <c r="F5" s="19">
        <v>2021.0</v>
      </c>
      <c r="G5" s="21" t="str">
        <f>HYPERLINK("https://www.youtube.com/watch?v=JYbU6qP1MW0","https://www.youtube.com/watch?v=JYbU6qP1MW0")</f>
        <v>https://www.youtube.com/watch?v=JYbU6qP1MW0</v>
      </c>
    </row>
    <row r="6">
      <c r="A6" s="19">
        <v>5.0</v>
      </c>
      <c r="B6" s="20" t="s">
        <v>542</v>
      </c>
      <c r="C6" s="20" t="s">
        <v>30</v>
      </c>
      <c r="D6" s="21" t="str">
        <f>HYPERLINK("https://www.ibm.com/think/topics/linear-regression","https://www.ibm.com/think/topics/linear-regression")</f>
        <v>https://www.ibm.com/think/topics/linear-regression</v>
      </c>
      <c r="E6" s="20" t="s">
        <v>545</v>
      </c>
      <c r="F6" s="19">
        <v>2021.0</v>
      </c>
      <c r="G6" s="21" t="str">
        <f>HYPERLINK("https://www.youtube.com/watch?v=zUQr6HAAKp4","https://www.youtube.com/watch?v=zUQr6HAAKp4")</f>
        <v>https://www.youtube.com/watch?v=zUQr6HAAKp4</v>
      </c>
    </row>
    <row r="7">
      <c r="A7" s="19">
        <v>6.0</v>
      </c>
      <c r="B7" s="20" t="s">
        <v>546</v>
      </c>
      <c r="C7" s="20" t="s">
        <v>30</v>
      </c>
      <c r="D7" s="21" t="str">
        <f>HYPERLINK("https://www.geeksforgeeks.org/machine-learning/mean-squared-error/","https://www.geeksforgeeks.org/machine-learning/mean-squared-error/")</f>
        <v>https://www.geeksforgeeks.org/machine-learning/mean-squared-error/</v>
      </c>
      <c r="E7" s="20" t="s">
        <v>545</v>
      </c>
      <c r="F7" s="19">
        <v>2021.0</v>
      </c>
      <c r="G7" s="22"/>
    </row>
    <row r="8">
      <c r="A8" s="19">
        <v>7.0</v>
      </c>
      <c r="B8" s="20" t="s">
        <v>548</v>
      </c>
      <c r="C8" s="20" t="s">
        <v>13</v>
      </c>
      <c r="D8" s="21" t="str">
        <f>HYPERLINK("https://www.ibm.com/think/topics/gradient-descent","https://www.ibm.com/think/topics/gradient-descent")</f>
        <v>https://www.ibm.com/think/topics/gradient-descent</v>
      </c>
      <c r="E8" s="20" t="s">
        <v>545</v>
      </c>
      <c r="F8" s="19">
        <v>2021.0</v>
      </c>
      <c r="G8" s="21" t="str">
        <f>HYPERLINK("https://www.youtube.com/watch?v=vtOI7NgXMQQ","https://www.youtube.com/watch?v=vtOI7NgXMQQ")</f>
        <v>https://www.youtube.com/watch?v=vtOI7NgXMQQ</v>
      </c>
    </row>
    <row r="9">
      <c r="A9" s="19">
        <v>8.0</v>
      </c>
      <c r="B9" s="20" t="s">
        <v>557</v>
      </c>
      <c r="C9" s="20" t="s">
        <v>30</v>
      </c>
      <c r="D9" s="21" t="str">
        <f>HYPERLINK("https://developer.mozilla.org/en-US/docs/Web/HTTP/Cookies","https://developer.mozilla.org/en-US/docs/Web/HTTP/Cookies")</f>
        <v>https://developer.mozilla.org/en-US/docs/Web/HTTP/Cookies</v>
      </c>
      <c r="E9" s="20" t="s">
        <v>545</v>
      </c>
      <c r="F9" s="19">
        <v>2021.0</v>
      </c>
      <c r="G9" s="22"/>
    </row>
    <row r="10">
      <c r="A10" s="19">
        <v>9.0</v>
      </c>
      <c r="B10" s="20" t="s">
        <v>560</v>
      </c>
      <c r="C10" s="20" t="s">
        <v>30</v>
      </c>
      <c r="D10" s="21" t="str">
        <f>HYPERLINK("https://www.geeksforgeeks.org/machine-learning/ml-classification-vs-regression/","https://www.geeksforgeeks.org/machine-learning/ml-classification-vs-regression/")</f>
        <v>https://www.geeksforgeeks.org/machine-learning/ml-classification-vs-regression/</v>
      </c>
      <c r="E10" s="20" t="s">
        <v>545</v>
      </c>
      <c r="F10" s="19">
        <v>2021.0</v>
      </c>
      <c r="G10" s="22"/>
    </row>
    <row r="11">
      <c r="A11" s="19">
        <v>10.0</v>
      </c>
      <c r="B11" s="20" t="s">
        <v>565</v>
      </c>
      <c r="C11" s="20" t="s">
        <v>13</v>
      </c>
      <c r="D11" s="21" t="str">
        <f>HYPERLINK("https://www.geeksforgeeks.org/dbms/normal-forms-in-dbms/","https://www.geeksforgeeks.org/dbms/normal-forms-in-dbms/")</f>
        <v>https://www.geeksforgeeks.org/dbms/normal-forms-in-dbms/</v>
      </c>
      <c r="E11" s="20" t="s">
        <v>545</v>
      </c>
      <c r="F11" s="19">
        <v>2021.0</v>
      </c>
      <c r="G11" s="22"/>
    </row>
    <row r="12">
      <c r="A12" s="19">
        <v>11.0</v>
      </c>
      <c r="B12" s="20" t="s">
        <v>567</v>
      </c>
      <c r="C12" s="20" t="s">
        <v>30</v>
      </c>
      <c r="D12" s="21" t="str">
        <f>HYPERLINK("https://www.geeksforgeeks.org/dbms/acid-properties-in-dbms/","https://www.geeksforgeeks.org/dbms/acid-properties-in-dbms/")</f>
        <v>https://www.geeksforgeeks.org/dbms/acid-properties-in-dbms/</v>
      </c>
      <c r="E12" s="20" t="s">
        <v>545</v>
      </c>
      <c r="F12" s="19">
        <v>2021.0</v>
      </c>
      <c r="G12" s="21" t="str">
        <f>HYPERLINK("https://www.youtube.com/watch?v=-GS0OxFJsYQ","https://www.youtube.com/watch?v=-GS0OxFJsYQ")</f>
        <v>https://www.youtube.com/watch?v=-GS0OxFJsYQ</v>
      </c>
    </row>
    <row r="13">
      <c r="A13" s="19">
        <v>12.0</v>
      </c>
      <c r="B13" s="20" t="s">
        <v>569</v>
      </c>
      <c r="C13" s="20" t="s">
        <v>13</v>
      </c>
      <c r="D13" s="21" t="str">
        <f>HYPERLINK("https://www.geeksforgeeks.org/dbms/transaction-isolation-levels-dbms/","https://www.geeksforgeeks.org/dbms/transaction-isolation-levels-dbms/")</f>
        <v>https://www.geeksforgeeks.org/dbms/transaction-isolation-levels-dbms/</v>
      </c>
      <c r="E13" s="20" t="s">
        <v>545</v>
      </c>
      <c r="F13" s="19">
        <v>2021.0</v>
      </c>
      <c r="G13" s="22"/>
    </row>
    <row r="14">
      <c r="A14" s="19">
        <v>13.0</v>
      </c>
      <c r="B14" s="20" t="s">
        <v>570</v>
      </c>
      <c r="C14" s="20" t="s">
        <v>30</v>
      </c>
      <c r="D14" s="21" t="str">
        <f>HYPERLINK("https://leetcode.com/problems/maximum-depth-of-binary-tree/","https://leetcode.com/problems/maximum-depth-of-binary-tree/")</f>
        <v>https://leetcode.com/problems/maximum-depth-of-binary-tree/</v>
      </c>
      <c r="E14" s="20" t="s">
        <v>545</v>
      </c>
      <c r="F14" s="19">
        <v>2021.0</v>
      </c>
      <c r="G14" s="21" t="str">
        <f>HYPERLINK("https://www.youtube.com/watch?v=hTM3phVI6YQ","https://www.youtube.com/watch?v=hTM3phVI6YQ")</f>
        <v>https://www.youtube.com/watch?v=hTM3phVI6YQ</v>
      </c>
    </row>
    <row r="15">
      <c r="A15" s="19">
        <v>14.0</v>
      </c>
      <c r="B15" s="20" t="s">
        <v>571</v>
      </c>
      <c r="C15" s="20" t="s">
        <v>13</v>
      </c>
      <c r="D15" s="21" t="str">
        <f>HYPERLINK("https://www.geeksforgeeks.org/c/pointers-in-c-and-c-set-1-introduction-arithmetic-and-array/","https://www.geeksforgeeks.org/c/pointers-in-c-and-c-set-1-introduction-arithmetic-and-array/")</f>
        <v>https://www.geeksforgeeks.org/c/pointers-in-c-and-c-set-1-introduction-arithmetic-and-array/</v>
      </c>
      <c r="E15" s="20" t="s">
        <v>572</v>
      </c>
      <c r="F15" s="19">
        <v>2021.0</v>
      </c>
      <c r="G15" s="22"/>
    </row>
    <row r="16">
      <c r="A16" s="19">
        <v>15.0</v>
      </c>
      <c r="B16" s="20" t="s">
        <v>573</v>
      </c>
      <c r="C16" s="20" t="s">
        <v>13</v>
      </c>
      <c r="D16" s="21" t="str">
        <f>HYPERLINK("https://www.geeksforgeeks.org/c/memory-layout-of-c-program/","https://www.geeksforgeeks.org/c/memory-layout-of-c-program/")</f>
        <v>https://www.geeksforgeeks.org/c/memory-layout-of-c-program/</v>
      </c>
      <c r="E16" s="20" t="s">
        <v>572</v>
      </c>
      <c r="F16" s="19">
        <v>2021.0</v>
      </c>
      <c r="G16" s="22"/>
    </row>
    <row r="17">
      <c r="A17" s="19">
        <v>16.0</v>
      </c>
      <c r="B17" s="20" t="s">
        <v>574</v>
      </c>
      <c r="C17" s="20" t="s">
        <v>30</v>
      </c>
      <c r="D17" s="21" t="str">
        <f>HYPERLINK("https://en.cppreference.com/w/c/types/limits.html","https://en.cppreference.com/w/c/types/limits.html")</f>
        <v>https://en.cppreference.com/w/c/types/limits.html</v>
      </c>
      <c r="E17" s="20" t="s">
        <v>572</v>
      </c>
      <c r="F17" s="19">
        <v>2021.0</v>
      </c>
      <c r="G17" s="22"/>
    </row>
    <row r="18">
      <c r="A18" s="19">
        <v>17.0</v>
      </c>
      <c r="B18" s="20" t="s">
        <v>575</v>
      </c>
      <c r="C18" s="20" t="s">
        <v>30</v>
      </c>
      <c r="D18" s="21" t="str">
        <f>HYPERLINK("https://en.cppreference.com/w/c/header/stdio.html","https://en.cppreference.com/w/c/header/stdio.html")</f>
        <v>https://en.cppreference.com/w/c/header/stdio.html</v>
      </c>
      <c r="E18" s="20" t="s">
        <v>572</v>
      </c>
      <c r="F18" s="19">
        <v>2021.0</v>
      </c>
      <c r="G18" s="22"/>
    </row>
    <row r="19">
      <c r="A19" s="19">
        <v>18.0</v>
      </c>
      <c r="B19" s="20" t="s">
        <v>576</v>
      </c>
      <c r="C19" s="20" t="s">
        <v>30</v>
      </c>
      <c r="D19" s="21" t="str">
        <f>HYPERLINK("https://docs.python.org/3/tutorial/datastructures.html#dictionaries","https://docs.python.org/3/tutorial/datastructures.html#dictionaries")</f>
        <v>https://docs.python.org/3/tutorial/datastructures.html#dictionaries</v>
      </c>
      <c r="E19" s="20" t="s">
        <v>572</v>
      </c>
      <c r="F19" s="19">
        <v>2021.0</v>
      </c>
      <c r="G19" s="22"/>
    </row>
  </sheetData>
  <autoFilter ref="$A$1:$G$19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526</v>
      </c>
    </row>
    <row r="2">
      <c r="A2" s="19">
        <v>1.0</v>
      </c>
      <c r="B2" s="20" t="s">
        <v>528</v>
      </c>
      <c r="C2" s="20" t="s">
        <v>13</v>
      </c>
      <c r="D2" s="21" t="str">
        <f>HYPERLINK("https://leetcode.com/problems/unique-paths/","https://leetcode.com/problems/unique-paths/")</f>
        <v>https://leetcode.com/problems/unique-paths/</v>
      </c>
      <c r="E2" s="20" t="s">
        <v>530</v>
      </c>
      <c r="F2" s="19">
        <v>2027.0</v>
      </c>
      <c r="G2" s="21" t="str">
        <f>HYPERLINK("https://www.youtube.com/watch?v=IlEsdxuD4lY","https://www.youtube.com/watch?v=IlEsdxuD4lY")</f>
        <v>https://www.youtube.com/watch?v=IlEsdxuD4lY</v>
      </c>
    </row>
    <row r="3">
      <c r="A3" s="19">
        <v>2.0</v>
      </c>
      <c r="B3" s="20" t="s">
        <v>532</v>
      </c>
      <c r="C3" s="20" t="s">
        <v>13</v>
      </c>
      <c r="D3" s="21" t="str">
        <f>HYPERLINK("https://www.acmicpc.net/problem/2961","https://www.acmicpc.net/problem/2961")</f>
        <v>https://www.acmicpc.net/problem/2961</v>
      </c>
      <c r="E3" s="20" t="s">
        <v>530</v>
      </c>
      <c r="F3" s="19">
        <v>2027.0</v>
      </c>
      <c r="G3" s="22"/>
    </row>
    <row r="4">
      <c r="A4" s="19">
        <v>3.0</v>
      </c>
      <c r="B4" s="20" t="s">
        <v>533</v>
      </c>
      <c r="C4" s="20" t="s">
        <v>21</v>
      </c>
      <c r="D4" s="22"/>
      <c r="E4" s="20" t="s">
        <v>530</v>
      </c>
      <c r="F4" s="19">
        <v>2027.0</v>
      </c>
      <c r="G4" s="22"/>
    </row>
    <row r="5">
      <c r="A5" s="19">
        <v>4.0</v>
      </c>
      <c r="B5" s="20" t="s">
        <v>535</v>
      </c>
      <c r="C5" s="20" t="s">
        <v>13</v>
      </c>
      <c r="D5" s="21" t="str">
        <f>HYPERLINK("https://leetcode.com/problems/valid-sudoku/","https://leetcode.com/problems/valid-sudoku/")</f>
        <v>https://leetcode.com/problems/valid-sudoku/</v>
      </c>
      <c r="E5" s="20" t="s">
        <v>536</v>
      </c>
      <c r="F5" s="19">
        <v>2027.0</v>
      </c>
      <c r="G5" s="21" t="str">
        <f>HYPERLINK("https://www.youtube.com/watch?v=TjFXEUCMqI8","https://www.youtube.com/watch?v=TjFXEUCMqI8")</f>
        <v>https://www.youtube.com/watch?v=TjFXEUCMqI8</v>
      </c>
    </row>
    <row r="6">
      <c r="A6" s="19">
        <v>5.0</v>
      </c>
      <c r="B6" s="20" t="s">
        <v>538</v>
      </c>
      <c r="C6" s="20" t="s">
        <v>21</v>
      </c>
      <c r="D6" s="21" t="str">
        <f>HYPERLINK("https://www.geeksforgeeks.org/dsa/travelling-salesman-problem-using-dynamic-programming/","https://www.geeksforgeeks.org/dsa/travelling-salesman-problem-using-dynamic-programming/")</f>
        <v>https://www.geeksforgeeks.org/dsa/travelling-salesman-problem-using-dynamic-programming/</v>
      </c>
      <c r="E6" s="20" t="s">
        <v>539</v>
      </c>
      <c r="F6" s="19">
        <v>2027.0</v>
      </c>
      <c r="G6" s="22"/>
    </row>
    <row r="7">
      <c r="A7" s="19">
        <v>6.0</v>
      </c>
      <c r="B7" s="20" t="s">
        <v>540</v>
      </c>
      <c r="C7" s="20" t="s">
        <v>13</v>
      </c>
      <c r="D7" s="22"/>
      <c r="E7" s="20" t="s">
        <v>539</v>
      </c>
      <c r="F7" s="19">
        <v>2027.0</v>
      </c>
      <c r="G7" s="22"/>
    </row>
    <row r="8">
      <c r="A8" s="19">
        <v>7.0</v>
      </c>
      <c r="B8" s="20" t="s">
        <v>541</v>
      </c>
      <c r="C8" s="20" t="s">
        <v>13</v>
      </c>
      <c r="D8" s="21" t="str">
        <f>HYPERLINK("https://www.cloudflare.com/learning/ssl/transport-layer-security-tls/","https://www.cloudflare.com/learning/ssl/transport-layer-security-tls/")</f>
        <v>https://www.cloudflare.com/learning/ssl/transport-layer-security-tls/</v>
      </c>
      <c r="E8" s="20" t="s">
        <v>543</v>
      </c>
      <c r="F8" s="19">
        <v>2027.0</v>
      </c>
      <c r="G8" s="22"/>
    </row>
    <row r="9">
      <c r="A9" s="19">
        <v>8.0</v>
      </c>
      <c r="B9" s="20" t="s">
        <v>544</v>
      </c>
      <c r="C9" s="20" t="s">
        <v>13</v>
      </c>
      <c r="D9" s="21" t="str">
        <f>HYPERLINK("https://www.geeksforgeeks.org/dbms/indexing-in-databases-set-1/","https://www.geeksforgeeks.org/dbms/indexing-in-databases-set-1/")</f>
        <v>https://www.geeksforgeeks.org/dbms/indexing-in-databases-set-1/</v>
      </c>
      <c r="E9" s="20" t="s">
        <v>543</v>
      </c>
      <c r="F9" s="19">
        <v>2027.0</v>
      </c>
      <c r="G9" s="21" t="str">
        <f>HYPERLINK("https://www.youtube.com/watch?v=BIlFTFrEFOI","https://www.youtube.com/watch?v=BIlFTFrEFOI")</f>
        <v>https://www.youtube.com/watch?v=BIlFTFrEFOI</v>
      </c>
    </row>
    <row r="10">
      <c r="A10" s="19">
        <v>9.0</v>
      </c>
      <c r="B10" s="20" t="s">
        <v>547</v>
      </c>
      <c r="C10" s="20" t="s">
        <v>13</v>
      </c>
      <c r="D10" s="21" t="str">
        <f>HYPERLINK("https://datatracker.ietf.org/doc/html/rfc7519","https://datatracker.ietf.org/doc/html/rfc7519")</f>
        <v>https://datatracker.ietf.org/doc/html/rfc7519</v>
      </c>
      <c r="E10" s="20" t="s">
        <v>543</v>
      </c>
      <c r="F10" s="19">
        <v>2027.0</v>
      </c>
      <c r="G10" s="22"/>
    </row>
    <row r="11">
      <c r="A11" s="19">
        <v>10.0</v>
      </c>
      <c r="B11" s="20" t="s">
        <v>549</v>
      </c>
      <c r="C11" s="20" t="s">
        <v>13</v>
      </c>
      <c r="D11" s="22"/>
      <c r="E11" s="20" t="s">
        <v>530</v>
      </c>
      <c r="F11" s="19">
        <v>2027.0</v>
      </c>
      <c r="G11" s="22"/>
    </row>
    <row r="12">
      <c r="A12" s="19">
        <v>11.0</v>
      </c>
      <c r="B12" s="20" t="s">
        <v>532</v>
      </c>
      <c r="C12" s="20" t="s">
        <v>13</v>
      </c>
      <c r="D12" s="21" t="str">
        <f>HYPERLINK("https://www.acmicpc.net/problem/2961","https://www.acmicpc.net/problem/2961")</f>
        <v>https://www.acmicpc.net/problem/2961</v>
      </c>
      <c r="E12" s="20" t="s">
        <v>530</v>
      </c>
      <c r="F12" s="19">
        <v>2027.0</v>
      </c>
      <c r="G12" s="22"/>
    </row>
    <row r="13">
      <c r="A13" s="19">
        <v>12.0</v>
      </c>
      <c r="B13" s="20" t="s">
        <v>533</v>
      </c>
      <c r="C13" s="20" t="s">
        <v>21</v>
      </c>
      <c r="D13" s="22"/>
      <c r="E13" s="20" t="s">
        <v>530</v>
      </c>
      <c r="F13" s="19">
        <v>2027.0</v>
      </c>
      <c r="G13" s="22"/>
    </row>
    <row r="14">
      <c r="A14" s="19">
        <v>13.0</v>
      </c>
      <c r="B14" s="20" t="s">
        <v>556</v>
      </c>
      <c r="C14" s="20" t="s">
        <v>21</v>
      </c>
      <c r="D14" s="22"/>
      <c r="E14" s="20" t="s">
        <v>536</v>
      </c>
      <c r="F14" s="19">
        <v>2027.0</v>
      </c>
      <c r="G14" s="22"/>
    </row>
    <row r="15">
      <c r="A15" s="19">
        <v>14.0</v>
      </c>
      <c r="B15" s="20" t="s">
        <v>558</v>
      </c>
      <c r="C15" s="20" t="s">
        <v>13</v>
      </c>
      <c r="D15" s="21" t="str">
        <f>HYPERLINK("https://www.geeksforgeeks.org/dbms/introduction-of-database-normalization/","https://www.geeksforgeeks.org/dbms/introduction-of-database-normalization/")</f>
        <v>https://www.geeksforgeeks.org/dbms/introduction-of-database-normalization/</v>
      </c>
      <c r="E15" s="20" t="s">
        <v>539</v>
      </c>
      <c r="F15" s="19">
        <v>2027.0</v>
      </c>
      <c r="G15" s="21" t="str">
        <f>HYPERLINK("https://www.youtube.com/watch?v=mf_PbWPo7VM","https://www.youtube.com/watch?v=mf_PbWPo7VM")</f>
        <v>https://www.youtube.com/watch?v=mf_PbWPo7VM</v>
      </c>
    </row>
    <row r="16">
      <c r="A16" s="19">
        <v>15.0</v>
      </c>
      <c r="B16" s="20" t="s">
        <v>564</v>
      </c>
      <c r="C16" s="20" t="s">
        <v>13</v>
      </c>
      <c r="D16" s="21" t="str">
        <f>HYPERLINK("https://www.geeksforgeeks.org/sql/sql-order-by/","https://www.geeksforgeeks.org/sql/sql-order-by/")</f>
        <v>https://www.geeksforgeeks.org/sql/sql-order-by/</v>
      </c>
      <c r="E16" s="20" t="s">
        <v>539</v>
      </c>
      <c r="F16" s="19">
        <v>2027.0</v>
      </c>
      <c r="G16" s="22"/>
    </row>
  </sheetData>
  <autoFilter ref="$A$1:$G$16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526</v>
      </c>
    </row>
    <row r="2">
      <c r="A2" s="19">
        <v>1.0</v>
      </c>
      <c r="B2" s="20" t="s">
        <v>553</v>
      </c>
      <c r="C2" s="20" t="s">
        <v>30</v>
      </c>
      <c r="D2" s="21" t="str">
        <f>HYPERLINK("https://www.ibm.com/think/topics/ai-vs-machine-learning-vs-deep-learning","https://www.ibm.com/think/topics/ai-vs-machine-learning-vs-deep-learning")</f>
        <v>https://www.ibm.com/think/topics/ai-vs-machine-learning-vs-deep-learning</v>
      </c>
      <c r="E2" s="20" t="s">
        <v>561</v>
      </c>
      <c r="F2" s="19">
        <v>2027.0</v>
      </c>
      <c r="G2" s="22"/>
    </row>
    <row r="3">
      <c r="A3" s="19">
        <v>2.0</v>
      </c>
      <c r="B3" s="20" t="s">
        <v>562</v>
      </c>
      <c r="C3" s="20" t="s">
        <v>30</v>
      </c>
      <c r="D3" s="21" t="str">
        <f>HYPERLINK("https://www.geeksforgeeks.org/dsa/introduction-of-object-oriented-programming/","https://www.geeksforgeeks.org/dsa/introduction-of-object-oriented-programming/")</f>
        <v>https://www.geeksforgeeks.org/dsa/introduction-of-object-oriented-programming/</v>
      </c>
      <c r="E3" s="20" t="s">
        <v>561</v>
      </c>
      <c r="F3" s="19">
        <v>2027.0</v>
      </c>
      <c r="G3" s="22"/>
    </row>
    <row r="4">
      <c r="A4" s="19">
        <v>3.0</v>
      </c>
      <c r="B4" s="20" t="s">
        <v>566</v>
      </c>
      <c r="C4" s="20" t="s">
        <v>13</v>
      </c>
      <c r="D4" s="21" t="str">
        <f>HYPERLINK("https://www.geeksforgeeks.org/machine-learning/underfitting-and-overfitting-in-machine-learning/","https://www.geeksforgeeks.org/machine-learning/underfitting-and-overfitting-in-machine-learning/")</f>
        <v>https://www.geeksforgeeks.org/machine-learning/underfitting-and-overfitting-in-machine-learning/</v>
      </c>
      <c r="E4" s="20" t="s">
        <v>561</v>
      </c>
      <c r="F4" s="19">
        <v>2027.0</v>
      </c>
      <c r="G4" s="22"/>
    </row>
    <row r="5">
      <c r="A5" s="19">
        <v>4.0</v>
      </c>
      <c r="B5" s="20" t="s">
        <v>568</v>
      </c>
      <c r="C5" s="20" t="s">
        <v>30</v>
      </c>
      <c r="D5" s="21" t="str">
        <f>HYPERLINK("https://www.ibm.com/think/topics/supervised-vs-unsupervised-learning","https://www.ibm.com/think/topics/supervised-vs-unsupervised-learning")</f>
        <v>https://www.ibm.com/think/topics/supervised-vs-unsupervised-learning</v>
      </c>
      <c r="E5" s="20" t="s">
        <v>561</v>
      </c>
      <c r="F5" s="19">
        <v>2027.0</v>
      </c>
      <c r="G5" s="21" t="str">
        <f>HYPERLINK("https://www.youtube.com/watch?v=fM8XdC1EweU","https://www.youtube.com/watch?v=fM8XdC1EweU")</f>
        <v>https://www.youtube.com/watch?v=fM8XdC1EweU</v>
      </c>
    </row>
  </sheetData>
  <autoFilter ref="$A$1:$G$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526</v>
      </c>
    </row>
    <row r="2">
      <c r="A2" s="19">
        <v>1.0</v>
      </c>
      <c r="B2" s="20" t="s">
        <v>550</v>
      </c>
      <c r="C2" s="20" t="s">
        <v>30</v>
      </c>
      <c r="D2" s="22"/>
      <c r="E2" s="20" t="s">
        <v>551</v>
      </c>
      <c r="F2" s="19">
        <v>2026.0</v>
      </c>
      <c r="G2" s="22"/>
    </row>
    <row r="3">
      <c r="A3" s="19">
        <v>2.0</v>
      </c>
      <c r="B3" s="20" t="s">
        <v>552</v>
      </c>
      <c r="C3" s="20" t="s">
        <v>30</v>
      </c>
      <c r="D3" s="22"/>
      <c r="E3" s="20" t="s">
        <v>551</v>
      </c>
      <c r="F3" s="19">
        <v>2026.0</v>
      </c>
      <c r="G3" s="22"/>
    </row>
    <row r="4">
      <c r="A4" s="19">
        <v>3.0</v>
      </c>
      <c r="B4" s="20" t="s">
        <v>554</v>
      </c>
      <c r="C4" s="20" t="s">
        <v>13</v>
      </c>
      <c r="D4" s="22"/>
      <c r="E4" s="20" t="s">
        <v>551</v>
      </c>
      <c r="F4" s="19">
        <v>2026.0</v>
      </c>
      <c r="G4" s="22"/>
    </row>
    <row r="5">
      <c r="A5" s="19">
        <v>4.0</v>
      </c>
      <c r="B5" s="20" t="s">
        <v>555</v>
      </c>
      <c r="C5" s="20" t="s">
        <v>13</v>
      </c>
      <c r="D5" s="21" t="str">
        <f>HYPERLINK("https://leetcode.com/problems/valid-parentheses/","https://leetcode.com/problems/valid-parentheses/")</f>
        <v>https://leetcode.com/problems/valid-parentheses/</v>
      </c>
      <c r="E5" s="20" t="s">
        <v>559</v>
      </c>
      <c r="F5" s="19">
        <v>2026.0</v>
      </c>
      <c r="G5" s="21" t="str">
        <f>HYPERLINK("https://www.youtube.com/watch?v=WTzjTskDFMg","https://www.youtube.com/watch?v=WTzjTskDFMg")</f>
        <v>https://www.youtube.com/watch?v=WTzjTskDFMg</v>
      </c>
    </row>
    <row r="6">
      <c r="A6" s="19">
        <v>5.0</v>
      </c>
      <c r="B6" s="20" t="s">
        <v>563</v>
      </c>
      <c r="C6" s="20" t="s">
        <v>30</v>
      </c>
      <c r="D6" s="21" t="str">
        <f>HYPERLINK("https://docs.python.org/3/tutorial/errors.html","https://docs.python.org/3/tutorial/errors.html")</f>
        <v>https://docs.python.org/3/tutorial/errors.html</v>
      </c>
      <c r="E6" s="20" t="s">
        <v>559</v>
      </c>
      <c r="F6" s="19">
        <v>2026.0</v>
      </c>
      <c r="G6" s="22"/>
    </row>
  </sheetData>
  <autoFilter ref="$A$1:$G$6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526</v>
      </c>
    </row>
    <row r="2">
      <c r="A2" s="19">
        <v>1.0</v>
      </c>
      <c r="B2" s="20" t="s">
        <v>577</v>
      </c>
      <c r="C2" s="20" t="s">
        <v>30</v>
      </c>
      <c r="D2" s="21" t="str">
        <f>HYPERLINK("https://leetcode.com/problems/valid-anagram/","https://leetcode.com/problems/valid-anagram/")</f>
        <v>https://leetcode.com/problems/valid-anagram/</v>
      </c>
      <c r="E2" s="20" t="s">
        <v>536</v>
      </c>
      <c r="F2" s="19">
        <v>2021.0</v>
      </c>
      <c r="G2" s="21" t="str">
        <f>HYPERLINK("https://www.youtube.com/watch?v=9UtInBqnCgA","https://www.youtube.com/watch?v=9UtInBqnCgA")</f>
        <v>https://www.youtube.com/watch?v=9UtInBqnCgA</v>
      </c>
    </row>
    <row r="3">
      <c r="A3" s="19">
        <v>2.0</v>
      </c>
      <c r="B3" s="20" t="s">
        <v>578</v>
      </c>
      <c r="C3" s="20" t="s">
        <v>13</v>
      </c>
      <c r="D3" s="22"/>
      <c r="E3" s="20" t="s">
        <v>536</v>
      </c>
      <c r="F3" s="19">
        <v>2021.0</v>
      </c>
      <c r="G3" s="22"/>
    </row>
    <row r="4">
      <c r="A4" s="19">
        <v>3.0</v>
      </c>
      <c r="B4" s="20" t="s">
        <v>579</v>
      </c>
      <c r="C4" s="20" t="s">
        <v>21</v>
      </c>
      <c r="D4" s="21" t="str">
        <f>HYPERLINK("https://leetcode.com/problems/first-missing-positive/","https://leetcode.com/problems/first-missing-positive/")</f>
        <v>https://leetcode.com/problems/first-missing-positive/</v>
      </c>
      <c r="E4" s="20" t="s">
        <v>536</v>
      </c>
      <c r="F4" s="19">
        <v>2021.0</v>
      </c>
      <c r="G4" s="21" t="str">
        <f>HYPERLINK("https://www.youtube.com/watch?v=8g78yfzMlao","https://www.youtube.com/watch?v=8g78yfzMlao")</f>
        <v>https://www.youtube.com/watch?v=8g78yfzMlao</v>
      </c>
    </row>
    <row r="5">
      <c r="A5" s="19">
        <v>4.0</v>
      </c>
      <c r="B5" s="20" t="s">
        <v>581</v>
      </c>
      <c r="C5" s="20" t="s">
        <v>30</v>
      </c>
      <c r="D5" s="21" t="str">
        <f>HYPERLINK("https://www.geeksforgeeks.org/dsa/array-implementation-of-queue-simple/","https://www.geeksforgeeks.org/dsa/array-implementation-of-queue-simple/")</f>
        <v>https://www.geeksforgeeks.org/dsa/array-implementation-of-queue-simple/</v>
      </c>
      <c r="E5" s="20" t="s">
        <v>539</v>
      </c>
      <c r="F5" s="19">
        <v>2021.0</v>
      </c>
      <c r="G5" s="21" t="str">
        <f>HYPERLINK("https://www.youtube.com/watch?v=YqrFeU90Coo","https://www.youtube.com/watch?v=YqrFeU90Coo")</f>
        <v>https://www.youtube.com/watch?v=YqrFeU90Coo</v>
      </c>
    </row>
  </sheetData>
  <autoFilter ref="$A$1:$G$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526</v>
      </c>
    </row>
    <row r="2">
      <c r="A2" s="19">
        <v>1.0</v>
      </c>
      <c r="B2" s="20" t="s">
        <v>307</v>
      </c>
      <c r="C2" s="20" t="s">
        <v>30</v>
      </c>
      <c r="D2" s="21" t="str">
        <f>HYPERLINK("https://leetcode.com/problems/reverse-string/","https://leetcode.com/problems/reverse-string/")</f>
        <v>https://leetcode.com/problems/reverse-string/</v>
      </c>
      <c r="E2" s="20" t="s">
        <v>580</v>
      </c>
      <c r="F2" s="19">
        <v>2026.0</v>
      </c>
      <c r="G2" s="21" t="str">
        <f>HYPERLINK("https://www.youtube.com/watch?v=_d0T_2Lk2qA","https://www.youtube.com/watch?v=_d0T_2Lk2qA")</f>
        <v>https://www.youtube.com/watch?v=_d0T_2Lk2qA</v>
      </c>
    </row>
    <row r="3">
      <c r="A3" s="19">
        <v>2.0</v>
      </c>
      <c r="B3" s="20" t="s">
        <v>582</v>
      </c>
      <c r="C3" s="20" t="s">
        <v>13</v>
      </c>
      <c r="D3" s="21" t="str">
        <f>HYPERLINK("https://projecteuler.net/problem=28","https://projecteuler.net/problem=28")</f>
        <v>https://projecteuler.net/problem=28</v>
      </c>
      <c r="E3" s="20" t="s">
        <v>580</v>
      </c>
      <c r="F3" s="19">
        <v>2026.0</v>
      </c>
      <c r="G3" s="22"/>
    </row>
    <row r="4">
      <c r="A4" s="19">
        <v>3.0</v>
      </c>
      <c r="B4" s="20" t="s">
        <v>583</v>
      </c>
      <c r="C4" s="20" t="s">
        <v>30</v>
      </c>
      <c r="D4" s="21" t="str">
        <f>HYPERLINK("https://www.geeksforgeeks.org/dsa/window-sliding-technique/","https://www.geeksforgeeks.org/dsa/window-sliding-technique/")</f>
        <v>https://www.geeksforgeeks.org/dsa/window-sliding-technique/</v>
      </c>
      <c r="E4" s="20" t="s">
        <v>536</v>
      </c>
      <c r="F4" s="19">
        <v>2026.0</v>
      </c>
      <c r="G4" s="22"/>
    </row>
    <row r="5">
      <c r="A5" s="19">
        <v>4.0</v>
      </c>
      <c r="B5" s="20" t="s">
        <v>584</v>
      </c>
      <c r="C5" s="20" t="s">
        <v>13</v>
      </c>
      <c r="D5" s="21" t="str">
        <f>HYPERLINK("https://www.geeksforgeeks.org/sql/sql-query-to-find-second-largest-salary/","https://www.geeksforgeeks.org/sql/sql-query-to-find-second-largest-salary/")</f>
        <v>https://www.geeksforgeeks.org/sql/sql-query-to-find-second-largest-salary/</v>
      </c>
      <c r="E5" s="20" t="s">
        <v>536</v>
      </c>
      <c r="F5" s="19">
        <v>2026.0</v>
      </c>
      <c r="G5" s="21" t="str">
        <f>HYPERLINK("https://www.youtube.com/watch?v=PN9wLmvq81o","https://www.youtube.com/watch?v=PN9wLmvq81o")</f>
        <v>https://www.youtube.com/watch?v=PN9wLmvq81o</v>
      </c>
    </row>
    <row r="6">
      <c r="A6" s="19">
        <v>5.0</v>
      </c>
      <c r="B6" s="20" t="s">
        <v>588</v>
      </c>
      <c r="C6" s="20" t="s">
        <v>30</v>
      </c>
      <c r="D6" s="21" t="str">
        <f>HYPERLINK("https://www.geeksforgeeks.org/sql/group-by-and-having-clause-in-ms-sql/","https://www.geeksforgeeks.org/sql/group-by-and-having-clause-in-ms-sql/")</f>
        <v>https://www.geeksforgeeks.org/sql/group-by-and-having-clause-in-ms-sql/</v>
      </c>
      <c r="E6" s="20" t="s">
        <v>536</v>
      </c>
      <c r="F6" s="19">
        <v>2026.0</v>
      </c>
      <c r="G6" s="22"/>
    </row>
    <row r="7">
      <c r="A7" s="19">
        <v>6.0</v>
      </c>
      <c r="B7" s="20" t="s">
        <v>591</v>
      </c>
      <c r="C7" s="20" t="s">
        <v>21</v>
      </c>
      <c r="D7" s="21" t="str">
        <f>HYPERLINK("https://docs.oracle.com/en/database/oracle/oracle-database/21/lnpls/plsql-subprograms.html","https://docs.oracle.com/en/database/oracle/oracle-database/21/lnpls/plsql-subprograms.html")</f>
        <v>https://docs.oracle.com/en/database/oracle/oracle-database/21/lnpls/plsql-subprograms.html</v>
      </c>
      <c r="E7" s="20" t="s">
        <v>536</v>
      </c>
      <c r="F7" s="19">
        <v>2026.0</v>
      </c>
      <c r="G7" s="22"/>
    </row>
    <row r="8">
      <c r="A8" s="19">
        <v>7.0</v>
      </c>
      <c r="B8" s="20" t="s">
        <v>593</v>
      </c>
      <c r="C8" s="20" t="s">
        <v>30</v>
      </c>
      <c r="D8" s="21" t="str">
        <f>HYPERLINK("https://developer.mozilla.org/en-US/docs/Glossary/Truthy","https://developer.mozilla.org/en-US/docs/Glossary/Truthy")</f>
        <v>https://developer.mozilla.org/en-US/docs/Glossary/Truthy</v>
      </c>
      <c r="E8" s="20" t="s">
        <v>536</v>
      </c>
      <c r="F8" s="19">
        <v>2026.0</v>
      </c>
      <c r="G8" s="22"/>
    </row>
    <row r="9">
      <c r="A9" s="19">
        <v>8.0</v>
      </c>
      <c r="B9" s="20" t="s">
        <v>596</v>
      </c>
      <c r="C9" s="20" t="s">
        <v>30</v>
      </c>
      <c r="D9" s="21" t="str">
        <f>HYPERLINK("https://www.geeksforgeeks.org/dsa/introduction-of-object-oriented-programming/","https://www.geeksforgeeks.org/dsa/introduction-of-object-oriented-programming/")</f>
        <v>https://www.geeksforgeeks.org/dsa/introduction-of-object-oriented-programming/</v>
      </c>
      <c r="E9" s="20" t="s">
        <v>539</v>
      </c>
      <c r="F9" s="19">
        <v>2026.0</v>
      </c>
      <c r="G9" s="22"/>
    </row>
    <row r="10">
      <c r="A10" s="19">
        <v>9.0</v>
      </c>
      <c r="B10" s="20" t="s">
        <v>599</v>
      </c>
      <c r="C10" s="20" t="s">
        <v>13</v>
      </c>
      <c r="D10" s="21" t="str">
        <f>HYPERLINK("https://www.geeksforgeeks.org/java/difference-between-abstract-class-and-interface-in-java/","https://www.geeksforgeeks.org/java/difference-between-abstract-class-and-interface-in-java/")</f>
        <v>https://www.geeksforgeeks.org/java/difference-between-abstract-class-and-interface-in-java/</v>
      </c>
      <c r="E10" s="20" t="s">
        <v>539</v>
      </c>
      <c r="F10" s="19">
        <v>2026.0</v>
      </c>
      <c r="G10" s="22"/>
    </row>
    <row r="11">
      <c r="A11" s="19">
        <v>10.0</v>
      </c>
      <c r="B11" s="20" t="s">
        <v>601</v>
      </c>
      <c r="C11" s="20" t="s">
        <v>30</v>
      </c>
      <c r="D11" s="21" t="str">
        <f>HYPERLINK("https://www.geeksforgeeks.org/blogs/frontend-vs-backend/","https://www.geeksforgeeks.org/blogs/frontend-vs-backend/")</f>
        <v>https://www.geeksforgeeks.org/blogs/frontend-vs-backend/</v>
      </c>
      <c r="E11" s="20" t="s">
        <v>539</v>
      </c>
      <c r="F11" s="19">
        <v>2026.0</v>
      </c>
      <c r="G11" s="22"/>
    </row>
    <row r="12">
      <c r="A12" s="19">
        <v>11.0</v>
      </c>
      <c r="B12" s="20" t="s">
        <v>605</v>
      </c>
      <c r="C12" s="20" t="s">
        <v>30</v>
      </c>
      <c r="D12" s="21" t="str">
        <f>HYPERLINK("https://www.geeksforgeeks.org/dbms/difference-between-database-and-dbms/","https://www.geeksforgeeks.org/dbms/difference-between-database-and-dbms/")</f>
        <v>https://www.geeksforgeeks.org/dbms/difference-between-database-and-dbms/</v>
      </c>
      <c r="E12" s="20" t="s">
        <v>539</v>
      </c>
      <c r="F12" s="19">
        <v>2026.0</v>
      </c>
      <c r="G12" s="21" t="str">
        <f>HYPERLINK("https://www.youtube.com/watch?v=6Iu45VZGQDk","https://www.youtube.com/watch?v=6Iu45VZGQDk")</f>
        <v>https://www.youtube.com/watch?v=6Iu45VZGQDk</v>
      </c>
    </row>
    <row r="13">
      <c r="A13" s="19">
        <v>12.0</v>
      </c>
      <c r="B13" s="20" t="s">
        <v>607</v>
      </c>
      <c r="C13" s="20" t="s">
        <v>13</v>
      </c>
      <c r="D13" s="21" t="str">
        <f>HYPERLINK("https://jakarta.ee/specifications/servlet/","https://jakarta.ee/specifications/servlet/")</f>
        <v>https://jakarta.ee/specifications/servlet/</v>
      </c>
      <c r="E13" s="20" t="s">
        <v>539</v>
      </c>
      <c r="F13" s="19">
        <v>2026.0</v>
      </c>
      <c r="G13" s="22"/>
    </row>
    <row r="14">
      <c r="A14" s="19">
        <v>13.0</v>
      </c>
      <c r="B14" s="20" t="s">
        <v>609</v>
      </c>
      <c r="C14" s="20" t="s">
        <v>13</v>
      </c>
      <c r="D14" s="21" t="str">
        <f>HYPERLINK("https://www.cloudflare.com/learning/email-security/what-is-smtp/","https://www.cloudflare.com/learning/email-security/what-is-smtp/")</f>
        <v>https://www.cloudflare.com/learning/email-security/what-is-smtp/</v>
      </c>
      <c r="E14" s="20" t="s">
        <v>539</v>
      </c>
      <c r="F14" s="19">
        <v>2026.0</v>
      </c>
      <c r="G14" s="21" t="str">
        <f>HYPERLINK("https://www.youtube.com/watch?v=pnoWCK82apU","https://www.youtube.com/watch?v=pnoWCK82apU")</f>
        <v>https://www.youtube.com/watch?v=pnoWCK82apU</v>
      </c>
    </row>
    <row r="15">
      <c r="A15" s="19">
        <v>14.0</v>
      </c>
      <c r="B15" s="20" t="s">
        <v>612</v>
      </c>
      <c r="C15" s="20" t="s">
        <v>30</v>
      </c>
      <c r="D15" s="21" t="str">
        <f>HYPERLINK("https://www.geeksforgeeks.org/computer-organization-architecture/32-bit-vs-64-bit-operating-systems/","https://www.geeksforgeeks.org/computer-organization-architecture/32-bit-vs-64-bit-operating-systems/")</f>
        <v>https://www.geeksforgeeks.org/computer-organization-architecture/32-bit-vs-64-bit-operating-systems/</v>
      </c>
      <c r="E15" s="20" t="s">
        <v>604</v>
      </c>
      <c r="F15" s="19">
        <v>2027.0</v>
      </c>
      <c r="G15" s="22"/>
    </row>
    <row r="16">
      <c r="A16" s="19">
        <v>15.0</v>
      </c>
      <c r="B16" s="20" t="s">
        <v>613</v>
      </c>
      <c r="C16" s="20" t="s">
        <v>30</v>
      </c>
      <c r="D16" s="21" t="str">
        <f>HYPERLINK("https://www.geeksforgeeks.org/computer-organization-architecture/computer-organization-risc-and-cisc/","https://www.geeksforgeeks.org/computer-organization-architecture/computer-organization-risc-and-cisc/")</f>
        <v>https://www.geeksforgeeks.org/computer-organization-architecture/computer-organization-risc-and-cisc/</v>
      </c>
      <c r="E16" s="20" t="s">
        <v>604</v>
      </c>
      <c r="F16" s="19">
        <v>2027.0</v>
      </c>
      <c r="G16" s="21" t="str">
        <f>HYPERLINK("https://www.youtube.com/watch?v=ZW1gb3h-f9k","https://www.youtube.com/watch?v=ZW1gb3h-f9k")</f>
        <v>https://www.youtube.com/watch?v=ZW1gb3h-f9k</v>
      </c>
    </row>
    <row r="17">
      <c r="A17" s="19">
        <v>16.0</v>
      </c>
      <c r="B17" s="20" t="s">
        <v>616</v>
      </c>
      <c r="C17" s="20" t="s">
        <v>13</v>
      </c>
      <c r="D17" s="21" t="str">
        <f>HYPERLINK("https://www.geeksforgeeks.org/dsa/little-and-big-endian-mystery/","https://www.geeksforgeeks.org/dsa/little-and-big-endian-mystery/")</f>
        <v>https://www.geeksforgeeks.org/dsa/little-and-big-endian-mystery/</v>
      </c>
      <c r="E17" s="20" t="s">
        <v>604</v>
      </c>
      <c r="F17" s="19">
        <v>2027.0</v>
      </c>
      <c r="G17" s="22"/>
    </row>
    <row r="18">
      <c r="A18" s="19">
        <v>17.0</v>
      </c>
      <c r="B18" s="20" t="s">
        <v>617</v>
      </c>
      <c r="C18" s="20" t="s">
        <v>30</v>
      </c>
      <c r="D18" s="21" t="str">
        <f>HYPERLINK("https://www.geeksforgeeks.org/java/java-platform-independent/","https://www.geeksforgeeks.org/java/java-platform-independent/")</f>
        <v>https://www.geeksforgeeks.org/java/java-platform-independent/</v>
      </c>
      <c r="E18" s="20" t="s">
        <v>604</v>
      </c>
      <c r="F18" s="19">
        <v>2027.0</v>
      </c>
      <c r="G18" s="22"/>
    </row>
    <row r="19">
      <c r="A19" s="19">
        <v>18.0</v>
      </c>
      <c r="B19" s="20" t="s">
        <v>619</v>
      </c>
      <c r="C19" s="20" t="s">
        <v>30</v>
      </c>
      <c r="D19" s="21" t="str">
        <f>HYPERLINK("https://www.geeksforgeeks.org/operating-systems/difference-between-process-and-thread/","https://www.geeksforgeeks.org/operating-systems/difference-between-process-and-thread/")</f>
        <v>https://www.geeksforgeeks.org/operating-systems/difference-between-process-and-thread/</v>
      </c>
      <c r="E19" s="20" t="s">
        <v>604</v>
      </c>
      <c r="F19" s="19">
        <v>2027.0</v>
      </c>
      <c r="G19" s="21" t="str">
        <f>HYPERLINK("https://www.youtube.com/watch?v=OrM7nZcxXZU","https://www.youtube.com/watch?v=OrM7nZcxXZU")</f>
        <v>https://www.youtube.com/watch?v=OrM7nZcxXZU</v>
      </c>
    </row>
    <row r="20">
      <c r="A20" s="19">
        <v>19.0</v>
      </c>
      <c r="B20" s="20" t="s">
        <v>623</v>
      </c>
      <c r="C20" s="20" t="s">
        <v>13</v>
      </c>
      <c r="D20" s="21" t="str">
        <f>HYPERLINK("https://www.geeksforgeeks.org/operating-systems/difference-between-concurrency-and-parallelism/","https://www.geeksforgeeks.org/operating-systems/difference-between-concurrency-and-parallelism/")</f>
        <v>https://www.geeksforgeeks.org/operating-systems/difference-between-concurrency-and-parallelism/</v>
      </c>
      <c r="E20" s="20" t="s">
        <v>604</v>
      </c>
      <c r="F20" s="19">
        <v>2027.0</v>
      </c>
      <c r="G20" s="22"/>
    </row>
    <row r="21">
      <c r="A21" s="19">
        <v>20.0</v>
      </c>
      <c r="B21" s="20" t="s">
        <v>626</v>
      </c>
      <c r="C21" s="20" t="s">
        <v>13</v>
      </c>
      <c r="D21" s="21" t="str">
        <f>HYPERLINK("https://www.geeksforgeeks.org/operating-systems/paging-in-operating-system/","https://www.geeksforgeeks.org/operating-systems/paging-in-operating-system/")</f>
        <v>https://www.geeksforgeeks.org/operating-systems/paging-in-operating-system/</v>
      </c>
      <c r="E21" s="20" t="s">
        <v>604</v>
      </c>
      <c r="F21" s="19">
        <v>2027.0</v>
      </c>
      <c r="G21" s="21" t="str">
        <f>HYPERLINK("https://www.youtube.com/watch?v=6c-mOFZwP_8","https://www.youtube.com/watch?v=6c-mOFZwP_8")</f>
        <v>https://www.youtube.com/watch?v=6c-mOFZwP_8</v>
      </c>
    </row>
    <row r="22">
      <c r="A22" s="19">
        <v>21.0</v>
      </c>
      <c r="B22" s="20" t="s">
        <v>631</v>
      </c>
      <c r="C22" s="20" t="s">
        <v>13</v>
      </c>
      <c r="D22" s="21" t="str">
        <f>HYPERLINK("https://www.geeksforgeeks.org/operating-systems/context-switch-in-operating-system/","https://www.geeksforgeeks.org/operating-systems/context-switch-in-operating-system/")</f>
        <v>https://www.geeksforgeeks.org/operating-systems/context-switch-in-operating-system/</v>
      </c>
      <c r="E22" s="20" t="s">
        <v>604</v>
      </c>
      <c r="F22" s="19">
        <v>2027.0</v>
      </c>
      <c r="G22" s="21" t="str">
        <f>HYPERLINK("https://www.youtube.com/watch?v=vTgccrbYHYs","https://www.youtube.com/watch?v=vTgccrbYHYs")</f>
        <v>https://www.youtube.com/watch?v=vTgccrbYHYs</v>
      </c>
    </row>
    <row r="23">
      <c r="A23" s="19">
        <v>22.0</v>
      </c>
      <c r="B23" s="20" t="s">
        <v>635</v>
      </c>
      <c r="C23" s="20" t="s">
        <v>13</v>
      </c>
      <c r="D23" s="21" t="str">
        <f>HYPERLINK("https://developer.mozilla.org/en-US/docs/Learn_web_development/Howto/Web_mechanics/What_is_a_URL","https://developer.mozilla.org/en-US/docs/Learn_web_development/Howto/Web_mechanics/What_is_a_URL")</f>
        <v>https://developer.mozilla.org/en-US/docs/Learn_web_development/Howto/Web_mechanics/What_is_a_URL</v>
      </c>
      <c r="E23" s="20" t="s">
        <v>604</v>
      </c>
      <c r="F23" s="19">
        <v>2027.0</v>
      </c>
      <c r="G23" s="22"/>
    </row>
    <row r="24">
      <c r="A24" s="19">
        <v>23.0</v>
      </c>
      <c r="B24" s="20" t="s">
        <v>640</v>
      </c>
      <c r="C24" s="20" t="s">
        <v>30</v>
      </c>
      <c r="D24" s="21" t="str">
        <f>HYPERLINK("https://www.cloudflare.com/learning/ddos/glossary/open-systems-interconnection-model-osi/","https://www.cloudflare.com/learning/ddos/glossary/open-systems-interconnection-model-osi/")</f>
        <v>https://www.cloudflare.com/learning/ddos/glossary/open-systems-interconnection-model-osi/</v>
      </c>
      <c r="E24" s="20" t="s">
        <v>604</v>
      </c>
      <c r="F24" s="19">
        <v>2027.0</v>
      </c>
      <c r="G24" s="21" t="str">
        <f>HYPERLINK("https://www.youtube.com/watch?v=qBXmbJZQ5rY","https://www.youtube.com/watch?v=qBXmbJZQ5rY")</f>
        <v>https://www.youtube.com/watch?v=qBXmbJZQ5rY</v>
      </c>
    </row>
    <row r="25">
      <c r="A25" s="19">
        <v>24.0</v>
      </c>
      <c r="B25" s="20" t="s">
        <v>641</v>
      </c>
      <c r="C25" s="20" t="s">
        <v>13</v>
      </c>
      <c r="D25" s="21" t="str">
        <f>HYPERLINK("https://aws.amazon.com/compare/the-difference-between-acid-and-base-database/","https://aws.amazon.com/compare/the-difference-between-acid-and-base-database/")</f>
        <v>https://aws.amazon.com/compare/the-difference-between-acid-and-base-database/</v>
      </c>
      <c r="E25" s="20" t="s">
        <v>604</v>
      </c>
      <c r="F25" s="19">
        <v>2027.0</v>
      </c>
      <c r="G25" s="22"/>
    </row>
    <row r="26">
      <c r="A26" s="19">
        <v>25.0</v>
      </c>
      <c r="B26" s="20" t="s">
        <v>642</v>
      </c>
      <c r="C26" s="20" t="s">
        <v>13</v>
      </c>
      <c r="D26" s="21" t="str">
        <f>HYPERLINK("https://www.geeksforgeeks.org/dbms/types-of-locks-in-concurrency-control/","https://www.geeksforgeeks.org/dbms/types-of-locks-in-concurrency-control/")</f>
        <v>https://www.geeksforgeeks.org/dbms/types-of-locks-in-concurrency-control/</v>
      </c>
      <c r="E26" s="20" t="s">
        <v>604</v>
      </c>
      <c r="F26" s="19">
        <v>2027.0</v>
      </c>
      <c r="G26" s="22"/>
    </row>
    <row r="27">
      <c r="A27" s="19">
        <v>26.0</v>
      </c>
      <c r="B27" s="20" t="s">
        <v>643</v>
      </c>
      <c r="C27" s="20" t="s">
        <v>21</v>
      </c>
      <c r="D27" s="21" t="str">
        <f>HYPERLINK("https://www.geeksforgeeks.org/system-design/database-sharding-a-system-design-concept/","https://www.geeksforgeeks.org/system-design/database-sharding-a-system-design-concept/")</f>
        <v>https://www.geeksforgeeks.org/system-design/database-sharding-a-system-design-concept/</v>
      </c>
      <c r="E27" s="20" t="s">
        <v>604</v>
      </c>
      <c r="F27" s="19">
        <v>2027.0</v>
      </c>
      <c r="G27" s="22"/>
    </row>
    <row r="28">
      <c r="A28" s="19">
        <v>27.0</v>
      </c>
      <c r="B28" s="20" t="s">
        <v>644</v>
      </c>
      <c r="C28" s="20" t="s">
        <v>30</v>
      </c>
      <c r="D28" s="21" t="str">
        <f>HYPERLINK("https://www.ibm.com/think/topics/data-warehouse","https://www.ibm.com/think/topics/data-warehouse")</f>
        <v>https://www.ibm.com/think/topics/data-warehouse</v>
      </c>
      <c r="E28" s="20" t="s">
        <v>604</v>
      </c>
      <c r="F28" s="19">
        <v>2027.0</v>
      </c>
      <c r="G28" s="21" t="str">
        <f>HYPERLINK("https://www.youtube.com/watch?v=NphMcnU8ymU","https://www.youtube.com/watch?v=NphMcnU8ymU")</f>
        <v>https://www.youtube.com/watch?v=NphMcnU8ymU</v>
      </c>
    </row>
    <row r="29">
      <c r="A29" s="19">
        <v>28.0</v>
      </c>
      <c r="B29" s="20" t="s">
        <v>645</v>
      </c>
      <c r="C29" s="20" t="s">
        <v>21</v>
      </c>
      <c r="D29" s="21" t="str">
        <f>HYPERLINK("https://www.geeksforgeeks.org/system-design/design-bookmyshow-a-system-design-interview-question/","https://www.geeksforgeeks.org/system-design/design-bookmyshow-a-system-design-interview-question/")</f>
        <v>https://www.geeksforgeeks.org/system-design/design-bookmyshow-a-system-design-interview-question/</v>
      </c>
      <c r="E29" s="20" t="s">
        <v>604</v>
      </c>
      <c r="F29" s="19">
        <v>2027.0</v>
      </c>
      <c r="G29" s="22"/>
    </row>
    <row r="30">
      <c r="A30" s="19">
        <v>29.0</v>
      </c>
      <c r="B30" s="20" t="s">
        <v>646</v>
      </c>
      <c r="C30" s="20" t="s">
        <v>30</v>
      </c>
      <c r="D30" s="21" t="str">
        <f>HYPERLINK("https://docs.github.com/en/get-started/start-your-journey/about-github-and-git","https://docs.github.com/en/get-started/start-your-journey/about-github-and-git")</f>
        <v>https://docs.github.com/en/get-started/start-your-journey/about-github-and-git</v>
      </c>
      <c r="E30" s="20" t="s">
        <v>610</v>
      </c>
      <c r="F30" s="19">
        <v>2027.0</v>
      </c>
      <c r="G30" s="22"/>
    </row>
    <row r="31">
      <c r="A31" s="19">
        <v>30.0</v>
      </c>
      <c r="B31" s="20" t="s">
        <v>648</v>
      </c>
      <c r="C31" s="20" t="s">
        <v>13</v>
      </c>
      <c r="D31" s="21" t="str">
        <f>HYPERLINK("https://git-scm.com/book/en/v2/Git-Branching-Rebasing","https://git-scm.com/book/en/v2/Git-Branching-Rebasing")</f>
        <v>https://git-scm.com/book/en/v2/Git-Branching-Rebasing</v>
      </c>
      <c r="E31" s="20" t="s">
        <v>610</v>
      </c>
      <c r="F31" s="19">
        <v>2027.0</v>
      </c>
      <c r="G31" s="22"/>
    </row>
    <row r="32">
      <c r="A32" s="19">
        <v>31.0</v>
      </c>
      <c r="B32" s="20" t="s">
        <v>650</v>
      </c>
      <c r="C32" s="20" t="s">
        <v>13</v>
      </c>
      <c r="D32" s="21" t="str">
        <f>HYPERLINK("https://www.redhat.com/en/topics/devops/what-is-ci-cd","https://www.redhat.com/en/topics/devops/what-is-ci-cd")</f>
        <v>https://www.redhat.com/en/topics/devops/what-is-ci-cd</v>
      </c>
      <c r="E32" s="20" t="s">
        <v>610</v>
      </c>
      <c r="F32" s="19">
        <v>2027.0</v>
      </c>
      <c r="G32" s="22"/>
    </row>
    <row r="33">
      <c r="A33" s="19">
        <v>32.0</v>
      </c>
      <c r="B33" s="20" t="s">
        <v>652</v>
      </c>
      <c r="C33" s="20" t="s">
        <v>21</v>
      </c>
      <c r="D33" s="21" t="str">
        <f>HYPERLINK("https://www.geeksforgeeks.org/system-design/design-bookmyshow-a-system-design-interview-question/","https://www.geeksforgeeks.org/system-design/design-bookmyshow-a-system-design-interview-question/")</f>
        <v>https://www.geeksforgeeks.org/system-design/design-bookmyshow-a-system-design-interview-question/</v>
      </c>
      <c r="E33" s="20" t="s">
        <v>610</v>
      </c>
      <c r="F33" s="19">
        <v>2027.0</v>
      </c>
      <c r="G33" s="22"/>
    </row>
    <row r="34">
      <c r="A34" s="19">
        <v>33.0</v>
      </c>
      <c r="B34" s="20" t="s">
        <v>654</v>
      </c>
      <c r="C34" s="20" t="s">
        <v>21</v>
      </c>
      <c r="D34" s="21" t="str">
        <f>HYPERLINK("https://microservices.io/patterns/data/saga.html","https://microservices.io/patterns/data/saga.html")</f>
        <v>https://microservices.io/patterns/data/saga.html</v>
      </c>
      <c r="E34" s="20" t="s">
        <v>610</v>
      </c>
      <c r="F34" s="19">
        <v>2027.0</v>
      </c>
      <c r="G34" s="22"/>
    </row>
    <row r="35">
      <c r="A35" s="19">
        <v>34.0</v>
      </c>
      <c r="B35" s="20" t="s">
        <v>656</v>
      </c>
      <c r="C35" s="20" t="s">
        <v>21</v>
      </c>
      <c r="D35" s="21" t="str">
        <f>HYPERLINK("https://developers.google.com/machine-learning/guides/rules-of-ml","https://developers.google.com/machine-learning/guides/rules-of-ml")</f>
        <v>https://developers.google.com/machine-learning/guides/rules-of-ml</v>
      </c>
      <c r="E35" s="20" t="s">
        <v>610</v>
      </c>
      <c r="F35" s="19">
        <v>2027.0</v>
      </c>
      <c r="G35" s="22"/>
    </row>
    <row r="36">
      <c r="A36" s="19">
        <v>35.0</v>
      </c>
      <c r="B36" s="20" t="s">
        <v>659</v>
      </c>
      <c r="C36" s="20" t="s">
        <v>13</v>
      </c>
      <c r="D36" s="21" t="str">
        <f>HYPERLINK("https://shap.readthedocs.io/en/latest/","https://shap.readthedocs.io/en/latest/")</f>
        <v>https://shap.readthedocs.io/en/latest/</v>
      </c>
      <c r="E36" s="20" t="s">
        <v>610</v>
      </c>
      <c r="F36" s="19">
        <v>2027.0</v>
      </c>
      <c r="G36" s="22"/>
    </row>
    <row r="37">
      <c r="A37" s="19">
        <v>36.0</v>
      </c>
      <c r="B37" s="20" t="s">
        <v>660</v>
      </c>
      <c r="C37" s="20" t="s">
        <v>13</v>
      </c>
      <c r="D37" s="21" t="str">
        <f>HYPERLINK("https://react.dev/learn","https://react.dev/learn")</f>
        <v>https://react.dev/learn</v>
      </c>
      <c r="E37" s="20" t="s">
        <v>610</v>
      </c>
      <c r="F37" s="19">
        <v>2027.0</v>
      </c>
      <c r="G37" s="22"/>
    </row>
    <row r="38">
      <c r="A38" s="19">
        <v>37.0</v>
      </c>
      <c r="B38" s="20" t="s">
        <v>663</v>
      </c>
      <c r="C38" s="20" t="s">
        <v>13</v>
      </c>
      <c r="D38" s="21" t="str">
        <f>HYPERLINK("https://developer.mozilla.org/en-US/docs/Learn_web_development/Extensions/Async_JS/Promises","https://developer.mozilla.org/en-US/docs/Learn_web_development/Extensions/Async_JS/Promises")</f>
        <v>https://developer.mozilla.org/en-US/docs/Learn_web_development/Extensions/Async_JS/Promises</v>
      </c>
      <c r="E38" s="20" t="s">
        <v>610</v>
      </c>
      <c r="F38" s="19">
        <v>2027.0</v>
      </c>
      <c r="G38" s="22"/>
    </row>
    <row r="39">
      <c r="A39" s="19">
        <v>38.0</v>
      </c>
      <c r="B39" s="20" t="s">
        <v>664</v>
      </c>
      <c r="C39" s="20" t="s">
        <v>13</v>
      </c>
      <c r="D39" s="21" t="str">
        <f>HYPERLINK("https://nodejs.org/en/learn/asynchronous-work/event-loop-timers-and-nexttick","https://nodejs.org/en/learn/asynchronous-work/event-loop-timers-and-nexttick")</f>
        <v>https://nodejs.org/en/learn/asynchronous-work/event-loop-timers-and-nexttick</v>
      </c>
      <c r="E39" s="20" t="s">
        <v>610</v>
      </c>
      <c r="F39" s="19">
        <v>2027.0</v>
      </c>
      <c r="G39" s="22"/>
    </row>
    <row r="40">
      <c r="A40" s="19">
        <v>39.0</v>
      </c>
      <c r="B40" s="20" t="s">
        <v>665</v>
      </c>
      <c r="C40" s="20" t="s">
        <v>13</v>
      </c>
      <c r="D40" s="21" t="str">
        <f>HYPERLINK("https://www.mongodb.com/docs/manual/data-modeling/","https://www.mongodb.com/docs/manual/data-modeling/")</f>
        <v>https://www.mongodb.com/docs/manual/data-modeling/</v>
      </c>
      <c r="E40" s="20" t="s">
        <v>610</v>
      </c>
      <c r="F40" s="19">
        <v>2027.0</v>
      </c>
      <c r="G40" s="22"/>
    </row>
    <row r="41">
      <c r="A41" s="19">
        <v>40.0</v>
      </c>
      <c r="B41" s="20" t="s">
        <v>666</v>
      </c>
      <c r="C41" s="20" t="s">
        <v>13</v>
      </c>
      <c r="D41" s="21" t="str">
        <f>HYPERLINK("https://developer.mozilla.org/en-US/docs/Glossary/REST","https://developer.mozilla.org/en-US/docs/Glossary/REST")</f>
        <v>https://developer.mozilla.org/en-US/docs/Glossary/REST</v>
      </c>
      <c r="E41" s="20" t="s">
        <v>610</v>
      </c>
      <c r="F41" s="19">
        <v>2027.0</v>
      </c>
      <c r="G41" s="22"/>
    </row>
    <row r="42">
      <c r="A42" s="19">
        <v>41.0</v>
      </c>
      <c r="B42" s="20" t="s">
        <v>667</v>
      </c>
      <c r="C42" s="20" t="s">
        <v>30</v>
      </c>
      <c r="D42" s="21" t="str">
        <f>HYPERLINK("https://www.geeksforgeeks.org/dsa/introduction-of-object-oriented-programming/","https://www.geeksforgeeks.org/dsa/introduction-of-object-oriented-programming/")</f>
        <v>https://www.geeksforgeeks.org/dsa/introduction-of-object-oriented-programming/</v>
      </c>
      <c r="E42" s="20" t="s">
        <v>669</v>
      </c>
      <c r="F42" s="19">
        <v>2027.0</v>
      </c>
      <c r="G42" s="22"/>
    </row>
    <row r="43">
      <c r="A43" s="19">
        <v>42.0</v>
      </c>
      <c r="B43" s="20" t="s">
        <v>671</v>
      </c>
      <c r="C43" s="20" t="s">
        <v>13</v>
      </c>
      <c r="D43" s="21" t="str">
        <f>HYPERLINK("https://www.geeksforgeeks.org/dbms/types-of-locks-in-concurrency-control/","https://www.geeksforgeeks.org/dbms/types-of-locks-in-concurrency-control/")</f>
        <v>https://www.geeksforgeeks.org/dbms/types-of-locks-in-concurrency-control/</v>
      </c>
      <c r="E43" s="20" t="s">
        <v>669</v>
      </c>
      <c r="F43" s="19">
        <v>2027.0</v>
      </c>
      <c r="G43" s="22"/>
    </row>
    <row r="44">
      <c r="A44" s="19">
        <v>43.0</v>
      </c>
      <c r="B44" s="20" t="s">
        <v>672</v>
      </c>
      <c r="C44" s="20" t="s">
        <v>13</v>
      </c>
      <c r="D44" s="21" t="str">
        <f>HYPERLINK("https://www.geeksforgeeks.org/dsa/quick-sort-algorithm/","https://www.geeksforgeeks.org/dsa/quick-sort-algorithm/")</f>
        <v>https://www.geeksforgeeks.org/dsa/quick-sort-algorithm/</v>
      </c>
      <c r="E44" s="20" t="s">
        <v>669</v>
      </c>
      <c r="F44" s="19">
        <v>2027.0</v>
      </c>
      <c r="G44" s="22"/>
    </row>
    <row r="45">
      <c r="A45" s="19">
        <v>44.0</v>
      </c>
      <c r="B45" s="20" t="s">
        <v>674</v>
      </c>
      <c r="C45" s="20" t="s">
        <v>30</v>
      </c>
      <c r="D45" s="21" t="str">
        <f>HYPERLINK("https://www.geeksforgeeks.org/cpp/c-vs-java/","https://www.geeksforgeeks.org/cpp/c-vs-java/")</f>
        <v>https://www.geeksforgeeks.org/cpp/c-vs-java/</v>
      </c>
      <c r="E45" s="20" t="s">
        <v>669</v>
      </c>
      <c r="F45" s="19">
        <v>2027.0</v>
      </c>
      <c r="G45" s="22"/>
    </row>
    <row r="46">
      <c r="A46" s="19">
        <v>45.0</v>
      </c>
      <c r="B46" s="20" t="s">
        <v>677</v>
      </c>
      <c r="C46" s="20" t="s">
        <v>30</v>
      </c>
      <c r="D46" s="21" t="str">
        <f>HYPERLINK("https://www.geeksforgeeks.org/cpp/the-c-standard-template-library-stl/","https://www.geeksforgeeks.org/cpp/the-c-standard-template-library-stl/")</f>
        <v>https://www.geeksforgeeks.org/cpp/the-c-standard-template-library-stl/</v>
      </c>
      <c r="E46" s="20" t="s">
        <v>669</v>
      </c>
      <c r="F46" s="19">
        <v>2027.0</v>
      </c>
      <c r="G46" s="21" t="str">
        <f>HYPERLINK("https://www.youtube.com/watch?v=okhdtEk1iKk","https://www.youtube.com/watch?v=okhdtEk1iKk")</f>
        <v>https://www.youtube.com/watch?v=okhdtEk1iKk</v>
      </c>
    </row>
    <row r="47">
      <c r="A47" s="19">
        <v>46.0</v>
      </c>
      <c r="B47" s="20" t="s">
        <v>679</v>
      </c>
      <c r="C47" s="20" t="s">
        <v>13</v>
      </c>
      <c r="D47" s="21" t="str">
        <f>HYPERLINK("https://www.geeksforgeeks.org/dsa/minimum-time-required-to-produce-m-items/","https://www.geeksforgeeks.org/dsa/minimum-time-required-to-produce-m-items/")</f>
        <v>https://www.geeksforgeeks.org/dsa/minimum-time-required-to-produce-m-items/</v>
      </c>
      <c r="E47" s="20" t="s">
        <v>530</v>
      </c>
      <c r="F47" s="19">
        <v>2027.0</v>
      </c>
      <c r="G47" s="22"/>
    </row>
    <row r="48">
      <c r="A48" s="19">
        <v>47.0</v>
      </c>
      <c r="B48" s="20" t="s">
        <v>680</v>
      </c>
      <c r="C48" s="20" t="s">
        <v>30</v>
      </c>
      <c r="D48" s="22"/>
      <c r="E48" s="20" t="s">
        <v>530</v>
      </c>
      <c r="F48" s="19">
        <v>2027.0</v>
      </c>
      <c r="G48" s="22"/>
    </row>
    <row r="49">
      <c r="A49" s="19">
        <v>48.0</v>
      </c>
      <c r="B49" s="20" t="s">
        <v>682</v>
      </c>
      <c r="C49" s="20" t="s">
        <v>21</v>
      </c>
      <c r="D49" s="21" t="str">
        <f>HYPERLINK("https://www.geeksforgeeks.org/system-design/design-bookmyshow-a-system-design-interview-question/","https://www.geeksforgeeks.org/system-design/design-bookmyshow-a-system-design-interview-question/")</f>
        <v>https://www.geeksforgeeks.org/system-design/design-bookmyshow-a-system-design-interview-question/</v>
      </c>
      <c r="E49" s="20" t="s">
        <v>604</v>
      </c>
      <c r="F49" s="19">
        <v>2027.0</v>
      </c>
      <c r="G49" s="22"/>
    </row>
    <row r="50">
      <c r="A50" s="19">
        <v>49.0</v>
      </c>
      <c r="B50" s="20" t="s">
        <v>684</v>
      </c>
      <c r="C50" s="20" t="s">
        <v>13</v>
      </c>
      <c r="D50" s="21" t="str">
        <f>HYPERLINK("https://www.geeksforgeeks.org/sql/sql-query-to-find-records-that-do-not-exist-in-another-table/","https://www.geeksforgeeks.org/sql/sql-query-to-find-records-that-do-not-exist-in-another-table/")</f>
        <v>https://www.geeksforgeeks.org/sql/sql-query-to-find-records-that-do-not-exist-in-another-table/</v>
      </c>
      <c r="E50" s="20" t="s">
        <v>604</v>
      </c>
      <c r="F50" s="19">
        <v>2027.0</v>
      </c>
      <c r="G50" s="22"/>
    </row>
    <row r="51">
      <c r="A51" s="19">
        <v>50.0</v>
      </c>
      <c r="B51" s="20" t="s">
        <v>688</v>
      </c>
      <c r="C51" s="20" t="s">
        <v>13</v>
      </c>
      <c r="D51" s="21" t="str">
        <f>HYPERLINK("https://www.geeksforgeeks.org/sql/how-to-find-duplicate-values-in-sql/","https://www.geeksforgeeks.org/sql/how-to-find-duplicate-values-in-sql/")</f>
        <v>https://www.geeksforgeeks.org/sql/how-to-find-duplicate-values-in-sql/</v>
      </c>
      <c r="E51" s="20" t="s">
        <v>604</v>
      </c>
      <c r="F51" s="19">
        <v>2027.0</v>
      </c>
      <c r="G51" s="22"/>
    </row>
    <row r="52">
      <c r="A52" s="19">
        <v>51.0</v>
      </c>
      <c r="B52" s="20" t="s">
        <v>691</v>
      </c>
      <c r="C52" s="20" t="s">
        <v>30</v>
      </c>
      <c r="D52" s="21" t="str">
        <f>HYPERLINK("https://leetcode.com/problems/missing-number/","https://leetcode.com/problems/missing-number/")</f>
        <v>https://leetcode.com/problems/missing-number/</v>
      </c>
      <c r="E52" s="20" t="s">
        <v>604</v>
      </c>
      <c r="F52" s="19">
        <v>2027.0</v>
      </c>
      <c r="G52" s="21" t="str">
        <f>HYPERLINK("https://www.youtube.com/watch?v=WnPLSRLSANE","https://www.youtube.com/watch?v=WnPLSRLSANE")</f>
        <v>https://www.youtube.com/watch?v=WnPLSRLSANE</v>
      </c>
    </row>
    <row r="53">
      <c r="A53" s="19">
        <v>52.0</v>
      </c>
      <c r="B53" s="20" t="s">
        <v>693</v>
      </c>
      <c r="C53" s="20" t="s">
        <v>13</v>
      </c>
      <c r="D53" s="21" t="str">
        <f>HYPERLINK("https://leetcode.com/problems/remove-nth-node-from-end-of-list/","https://leetcode.com/problems/remove-nth-node-from-end-of-list/")</f>
        <v>https://leetcode.com/problems/remove-nth-node-from-end-of-list/</v>
      </c>
      <c r="E53" s="20" t="s">
        <v>604</v>
      </c>
      <c r="F53" s="19">
        <v>2027.0</v>
      </c>
      <c r="G53" s="21" t="str">
        <f>HYPERLINK("https://www.youtube.com/watch?v=XVuQxVej6y8","https://www.youtube.com/watch?v=XVuQxVej6y8")</f>
        <v>https://www.youtube.com/watch?v=XVuQxVej6y8</v>
      </c>
    </row>
    <row r="54">
      <c r="A54" s="19">
        <v>53.0</v>
      </c>
      <c r="B54" s="20" t="s">
        <v>696</v>
      </c>
      <c r="C54" s="20" t="s">
        <v>13</v>
      </c>
      <c r="D54" s="21" t="str">
        <f>HYPERLINK("https://developer.mozilla.org/en-US/docs/Learn_web_development/Getting_started/Web_standards/How_the_web_works","https://developer.mozilla.org/en-US/docs/Learn_web_development/Getting_started/Web_standards/How_the_web_works")</f>
        <v>https://developer.mozilla.org/en-US/docs/Learn_web_development/Getting_started/Web_standards/How_the_web_works</v>
      </c>
      <c r="E54" s="20" t="s">
        <v>604</v>
      </c>
      <c r="F54" s="19">
        <v>2027.0</v>
      </c>
      <c r="G54" s="22"/>
    </row>
    <row r="55">
      <c r="A55" s="19">
        <v>54.0</v>
      </c>
      <c r="B55" s="20" t="s">
        <v>698</v>
      </c>
      <c r="C55" s="20" t="s">
        <v>30</v>
      </c>
      <c r="D55" s="21" t="str">
        <f>HYPERLINK("https://www.cloudflare.com/learning/ssl/why-is-http-not-secure/","https://www.cloudflare.com/learning/ssl/why-is-http-not-secure/")</f>
        <v>https://www.cloudflare.com/learning/ssl/why-is-http-not-secure/</v>
      </c>
      <c r="E55" s="20" t="s">
        <v>604</v>
      </c>
      <c r="F55" s="19">
        <v>2027.0</v>
      </c>
      <c r="G55" s="22"/>
    </row>
    <row r="56">
      <c r="A56" s="19">
        <v>55.0</v>
      </c>
      <c r="B56" s="20" t="s">
        <v>699</v>
      </c>
      <c r="C56" s="20" t="s">
        <v>30</v>
      </c>
      <c r="D56" s="21" t="str">
        <f>HYPERLINK("https://developer.mozilla.org/en-US/docs/Web/HTTP/Reference/Methods","https://developer.mozilla.org/en-US/docs/Web/HTTP/Reference/Methods")</f>
        <v>https://developer.mozilla.org/en-US/docs/Web/HTTP/Reference/Methods</v>
      </c>
      <c r="E56" s="20" t="s">
        <v>604</v>
      </c>
      <c r="F56" s="19">
        <v>2027.0</v>
      </c>
      <c r="G56" s="22"/>
    </row>
    <row r="57">
      <c r="A57" s="19">
        <v>56.0</v>
      </c>
      <c r="B57" s="20" t="s">
        <v>700</v>
      </c>
      <c r="C57" s="20" t="s">
        <v>30</v>
      </c>
      <c r="D57" s="21" t="str">
        <f>HYPERLINK("https://www.redhat.com/en/topics/cloud-computing/iaas-vs-paas-vs-saas","https://www.redhat.com/en/topics/cloud-computing/iaas-vs-paas-vs-saas")</f>
        <v>https://www.redhat.com/en/topics/cloud-computing/iaas-vs-paas-vs-saas</v>
      </c>
      <c r="E57" s="20" t="s">
        <v>604</v>
      </c>
      <c r="F57" s="19">
        <v>2027.0</v>
      </c>
      <c r="G57" s="21" t="str">
        <f>HYPERLINK("https://www.youtube.com/watch?v=lsvpvCU6Oxs","https://www.youtube.com/watch?v=lsvpvCU6Oxs")</f>
        <v>https://www.youtube.com/watch?v=lsvpvCU6Oxs</v>
      </c>
    </row>
    <row r="58">
      <c r="A58" s="19">
        <v>57.0</v>
      </c>
      <c r="B58" s="20" t="s">
        <v>701</v>
      </c>
      <c r="C58" s="20" t="s">
        <v>13</v>
      </c>
      <c r="D58" s="21" t="str">
        <f>HYPERLINK("https://docs.docker.com/get-started/docker-concepts/running-containers/","https://docs.docker.com/get-started/docker-concepts/running-containers/")</f>
        <v>https://docs.docker.com/get-started/docker-concepts/running-containers/</v>
      </c>
      <c r="E58" s="20" t="s">
        <v>604</v>
      </c>
      <c r="F58" s="19">
        <v>2027.0</v>
      </c>
      <c r="G58" s="22"/>
    </row>
    <row r="59">
      <c r="A59" s="19">
        <v>58.0</v>
      </c>
      <c r="B59" s="20" t="s">
        <v>702</v>
      </c>
      <c r="C59" s="20" t="s">
        <v>21</v>
      </c>
      <c r="D59" s="21" t="str">
        <f>HYPERLINK("https://www.geeksforgeeks.org/dbms/denormalization-in-databases/","https://www.geeksforgeeks.org/dbms/denormalization-in-databases/")</f>
        <v>https://www.geeksforgeeks.org/dbms/denormalization-in-databases/</v>
      </c>
      <c r="E59" s="20" t="s">
        <v>610</v>
      </c>
      <c r="F59" s="19">
        <v>2027.0</v>
      </c>
      <c r="G59" s="22"/>
    </row>
    <row r="60">
      <c r="A60" s="19">
        <v>59.0</v>
      </c>
      <c r="B60" s="20" t="s">
        <v>151</v>
      </c>
      <c r="C60" s="20" t="s">
        <v>13</v>
      </c>
      <c r="D60" s="21" t="str">
        <f>HYPERLINK("https://leetcode.com/problems/merge-intervals/","https://leetcode.com/problems/merge-intervals/")</f>
        <v>https://leetcode.com/problems/merge-intervals/</v>
      </c>
      <c r="E60" s="20" t="s">
        <v>610</v>
      </c>
      <c r="F60" s="19">
        <v>2027.0</v>
      </c>
      <c r="G60" s="21" t="str">
        <f>HYPERLINK("https://www.youtube.com/watch?v=44H3cEC2fFM","https://www.youtube.com/watch?v=44H3cEC2fFM")</f>
        <v>https://www.youtube.com/watch?v=44H3cEC2fFM</v>
      </c>
    </row>
    <row r="61">
      <c r="A61" s="19">
        <v>60.0</v>
      </c>
      <c r="B61" s="20" t="s">
        <v>703</v>
      </c>
      <c r="C61" s="20" t="s">
        <v>13</v>
      </c>
      <c r="D61" s="21" t="str">
        <f>HYPERLINK("https://react.dev/learn","https://react.dev/learn")</f>
        <v>https://react.dev/learn</v>
      </c>
      <c r="E61" s="20" t="s">
        <v>610</v>
      </c>
      <c r="F61" s="19">
        <v>2027.0</v>
      </c>
      <c r="G61" s="22"/>
    </row>
    <row r="62">
      <c r="A62" s="19">
        <v>61.0</v>
      </c>
      <c r="B62" s="20" t="s">
        <v>704</v>
      </c>
      <c r="C62" s="20" t="s">
        <v>13</v>
      </c>
      <c r="D62" s="21" t="str">
        <f>HYPERLINK("https://www.geeksforgeeks.org/dbms/types-of-keys-in-relational-model-candidate-super-primary-alternate-and-foreign/","https://www.geeksforgeeks.org/dbms/types-of-keys-in-relational-model-candidate-super-primary-alternate-and-foreign/")</f>
        <v>https://www.geeksforgeeks.org/dbms/types-of-keys-in-relational-model-candidate-super-primary-alternate-and-foreign/</v>
      </c>
      <c r="E62" s="20" t="s">
        <v>669</v>
      </c>
      <c r="F62" s="19">
        <v>2027.0</v>
      </c>
      <c r="G62" s="22"/>
    </row>
    <row r="63">
      <c r="A63" s="19">
        <v>62.0</v>
      </c>
      <c r="B63" s="20" t="s">
        <v>706</v>
      </c>
      <c r="C63" s="20" t="s">
        <v>13</v>
      </c>
      <c r="D63" s="21" t="str">
        <f>HYPERLINK("https://www.geeksforgeeks.org/cpp/inheritance-in-c/","https://www.geeksforgeeks.org/cpp/inheritance-in-c/")</f>
        <v>https://www.geeksforgeeks.org/cpp/inheritance-in-c/</v>
      </c>
      <c r="E63" s="20" t="s">
        <v>669</v>
      </c>
      <c r="F63" s="19">
        <v>2027.0</v>
      </c>
      <c r="G63" s="21" t="str">
        <f>HYPERLINK("https://www.youtube.com/watch?v=Cn7AkDb4pIU","https://www.youtube.com/watch?v=Cn7AkDb4pIU")</f>
        <v>https://www.youtube.com/watch?v=Cn7AkDb4pIU</v>
      </c>
    </row>
    <row r="64">
      <c r="A64" s="19">
        <v>63.0</v>
      </c>
      <c r="B64" s="20" t="s">
        <v>708</v>
      </c>
      <c r="C64" s="20" t="s">
        <v>13</v>
      </c>
      <c r="D64" s="21" t="str">
        <f>HYPERLINK("https://git-scm.com/book/en/v2/Git-Branching-Rebasing","https://git-scm.com/book/en/v2/Git-Branching-Rebasing")</f>
        <v>https://git-scm.com/book/en/v2/Git-Branching-Rebasing</v>
      </c>
      <c r="E64" s="20" t="s">
        <v>669</v>
      </c>
      <c r="F64" s="19">
        <v>2027.0</v>
      </c>
      <c r="G64" s="22"/>
    </row>
    <row r="65">
      <c r="A65" s="19">
        <v>64.0</v>
      </c>
      <c r="B65" s="20" t="s">
        <v>709</v>
      </c>
      <c r="C65" s="20" t="s">
        <v>13</v>
      </c>
      <c r="D65" s="21" t="str">
        <f>HYPERLINK("https://www.geeksforgeeks.org/system-design/horizontal-and-vertical-scaling-in-databases/","https://www.geeksforgeeks.org/system-design/horizontal-and-vertical-scaling-in-databases/")</f>
        <v>https://www.geeksforgeeks.org/system-design/horizontal-and-vertical-scaling-in-databases/</v>
      </c>
      <c r="E65" s="20" t="s">
        <v>669</v>
      </c>
      <c r="F65" s="19">
        <v>2027.0</v>
      </c>
      <c r="G65" s="22"/>
    </row>
  </sheetData>
  <autoFilter ref="$A$1:$G$6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526</v>
      </c>
    </row>
    <row r="2">
      <c r="A2" s="19">
        <v>1.0</v>
      </c>
      <c r="B2" s="20" t="s">
        <v>585</v>
      </c>
      <c r="C2" s="20" t="s">
        <v>13</v>
      </c>
      <c r="D2" s="22"/>
      <c r="E2" s="20" t="s">
        <v>530</v>
      </c>
      <c r="F2" s="19">
        <v>2026.0</v>
      </c>
      <c r="G2" s="22"/>
    </row>
    <row r="3">
      <c r="A3" s="19">
        <v>2.0</v>
      </c>
      <c r="B3" s="20" t="s">
        <v>586</v>
      </c>
      <c r="C3" s="20" t="s">
        <v>21</v>
      </c>
      <c r="D3" s="22"/>
      <c r="E3" s="20" t="s">
        <v>530</v>
      </c>
      <c r="F3" s="19">
        <v>2026.0</v>
      </c>
      <c r="G3" s="22"/>
    </row>
    <row r="4">
      <c r="A4" s="19">
        <v>3.0</v>
      </c>
      <c r="B4" s="20" t="s">
        <v>587</v>
      </c>
      <c r="C4" s="20" t="s">
        <v>21</v>
      </c>
      <c r="D4" s="21" t="str">
        <f>HYPERLINK("https://leetcode.com/problems/flatten-a-multilevel-doubly-linked-list/","https://leetcode.com/problems/flatten-a-multilevel-doubly-linked-list/")</f>
        <v>https://leetcode.com/problems/flatten-a-multilevel-doubly-linked-list/</v>
      </c>
      <c r="E4" s="20" t="s">
        <v>589</v>
      </c>
      <c r="F4" s="19">
        <v>2026.0</v>
      </c>
      <c r="G4" s="22"/>
    </row>
    <row r="5">
      <c r="A5" s="19">
        <v>4.0</v>
      </c>
      <c r="B5" s="20" t="s">
        <v>590</v>
      </c>
      <c r="C5" s="20" t="s">
        <v>21</v>
      </c>
      <c r="D5" s="21" t="str">
        <f>HYPERLINK("https://leetcode.com/problems/maximum-sum-bst-in-binary-tree/","https://leetcode.com/problems/maximum-sum-bst-in-binary-tree/")</f>
        <v>https://leetcode.com/problems/maximum-sum-bst-in-binary-tree/</v>
      </c>
      <c r="E5" s="20" t="s">
        <v>589</v>
      </c>
      <c r="F5" s="19">
        <v>2026.0</v>
      </c>
      <c r="G5" s="22"/>
    </row>
    <row r="6">
      <c r="A6" s="19">
        <v>5.0</v>
      </c>
      <c r="B6" s="20" t="s">
        <v>592</v>
      </c>
      <c r="C6" s="20" t="s">
        <v>13</v>
      </c>
      <c r="D6" s="21" t="str">
        <f>HYPERLINK("https://leetcode.com/problems/jump-game/","https://leetcode.com/problems/jump-game/")</f>
        <v>https://leetcode.com/problems/jump-game/</v>
      </c>
      <c r="E6" s="20" t="s">
        <v>594</v>
      </c>
      <c r="F6" s="19">
        <v>2026.0</v>
      </c>
      <c r="G6" s="21" t="str">
        <f>HYPERLINK("https://www.youtube.com/watch?v=Yan0cv2cLy8","https://www.youtube.com/watch?v=Yan0cv2cLy8")</f>
        <v>https://www.youtube.com/watch?v=Yan0cv2cLy8</v>
      </c>
    </row>
    <row r="7">
      <c r="A7" s="19">
        <v>6.0</v>
      </c>
      <c r="B7" s="20" t="s">
        <v>595</v>
      </c>
      <c r="C7" s="20" t="s">
        <v>13</v>
      </c>
      <c r="D7" s="21" t="str">
        <f>HYPERLINK("https://leetcode.com/problems/gas-station/","https://leetcode.com/problems/gas-station/")</f>
        <v>https://leetcode.com/problems/gas-station/</v>
      </c>
      <c r="E7" s="20" t="s">
        <v>594</v>
      </c>
      <c r="F7" s="19">
        <v>2026.0</v>
      </c>
      <c r="G7" s="21" t="str">
        <f>HYPERLINK("https://www.youtube.com/watch?v=lJwbPZGo05A","https://www.youtube.com/watch?v=lJwbPZGo05A")</f>
        <v>https://www.youtube.com/watch?v=lJwbPZGo05A</v>
      </c>
    </row>
    <row r="8">
      <c r="A8" s="19">
        <v>7.0</v>
      </c>
      <c r="B8" s="20" t="s">
        <v>597</v>
      </c>
      <c r="C8" s="20" t="s">
        <v>13</v>
      </c>
      <c r="D8" s="21" t="str">
        <f>HYPERLINK("https://www.geeksforgeeks.org/dsa/smallest-difference-pair-values-two-unsorted-arrays/","https://www.geeksforgeeks.org/dsa/smallest-difference-pair-values-two-unsorted-arrays/")</f>
        <v>https://www.geeksforgeeks.org/dsa/smallest-difference-pair-values-two-unsorted-arrays/</v>
      </c>
      <c r="E8" s="20" t="s">
        <v>598</v>
      </c>
      <c r="F8" s="19">
        <v>2026.0</v>
      </c>
      <c r="G8" s="22"/>
    </row>
  </sheetData>
  <autoFilter ref="$A$1:$G$8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526</v>
      </c>
    </row>
    <row r="2">
      <c r="A2" s="19">
        <v>1.0</v>
      </c>
      <c r="B2" s="20" t="s">
        <v>600</v>
      </c>
      <c r="C2" s="20" t="s">
        <v>13</v>
      </c>
      <c r="D2" s="22"/>
      <c r="E2" s="20" t="s">
        <v>602</v>
      </c>
      <c r="F2" s="19">
        <v>2025.0</v>
      </c>
      <c r="G2" s="22"/>
    </row>
    <row r="3">
      <c r="A3" s="19">
        <v>2.0</v>
      </c>
      <c r="B3" s="20" t="s">
        <v>603</v>
      </c>
      <c r="C3" s="20" t="s">
        <v>13</v>
      </c>
      <c r="D3" s="21" t="str">
        <f>HYPERLINK("https://dev.java/learn/oop/","https://dev.java/learn/oop/")</f>
        <v>https://dev.java/learn/oop/</v>
      </c>
      <c r="E3" s="20" t="s">
        <v>604</v>
      </c>
      <c r="F3" s="19">
        <v>2025.0</v>
      </c>
      <c r="G3" s="22"/>
    </row>
    <row r="4">
      <c r="A4" s="19">
        <v>3.0</v>
      </c>
      <c r="B4" s="20" t="s">
        <v>606</v>
      </c>
      <c r="C4" s="20" t="s">
        <v>30</v>
      </c>
      <c r="D4" s="21" t="str">
        <f>HYPERLINK("https://www.geeksforgeeks.org/dsa/program-for-nth-fibonacci-number/","https://www.geeksforgeeks.org/dsa/program-for-nth-fibonacci-number/")</f>
        <v>https://www.geeksforgeeks.org/dsa/program-for-nth-fibonacci-number/</v>
      </c>
      <c r="E4" s="20" t="s">
        <v>604</v>
      </c>
      <c r="F4" s="19">
        <v>2025.0</v>
      </c>
      <c r="G4" s="22"/>
    </row>
    <row r="5">
      <c r="A5" s="19">
        <v>4.0</v>
      </c>
      <c r="B5" s="20" t="s">
        <v>577</v>
      </c>
      <c r="C5" s="20" t="s">
        <v>30</v>
      </c>
      <c r="D5" s="21" t="str">
        <f>HYPERLINK("https://leetcode.com/problems/valid-anagram/","https://leetcode.com/problems/valid-anagram/")</f>
        <v>https://leetcode.com/problems/valid-anagram/</v>
      </c>
      <c r="E5" s="20" t="s">
        <v>604</v>
      </c>
      <c r="F5" s="19">
        <v>2025.0</v>
      </c>
      <c r="G5" s="21" t="str">
        <f>HYPERLINK("https://www.youtube.com/watch?v=9UtInBqnCgA","https://www.youtube.com/watch?v=9UtInBqnCgA")</f>
        <v>https://www.youtube.com/watch?v=9UtInBqnCgA</v>
      </c>
    </row>
    <row r="6">
      <c r="A6" s="19">
        <v>5.0</v>
      </c>
      <c r="B6" s="20" t="s">
        <v>608</v>
      </c>
      <c r="C6" s="20" t="s">
        <v>30</v>
      </c>
      <c r="D6" s="21" t="str">
        <f>HYPERLINK("https://www.geeksforgeeks.org/computer-networks/difference-between-ftp-and-sftp/","https://www.geeksforgeeks.org/computer-networks/difference-between-ftp-and-sftp/")</f>
        <v>https://www.geeksforgeeks.org/computer-networks/difference-between-ftp-and-sftp/</v>
      </c>
      <c r="E6" s="20" t="s">
        <v>610</v>
      </c>
      <c r="F6" s="19">
        <v>2025.0</v>
      </c>
      <c r="G6" s="22"/>
    </row>
    <row r="7">
      <c r="A7" s="19">
        <v>6.0</v>
      </c>
      <c r="B7" s="20" t="s">
        <v>611</v>
      </c>
      <c r="C7" s="20" t="s">
        <v>30</v>
      </c>
      <c r="D7" s="21" t="str">
        <f>HYPERLINK("https://www.cloudflare.com/learning/ddos/glossary/tcp-ip/","https://www.cloudflare.com/learning/ddos/glossary/tcp-ip/")</f>
        <v>https://www.cloudflare.com/learning/ddos/glossary/tcp-ip/</v>
      </c>
      <c r="E7" s="20" t="s">
        <v>610</v>
      </c>
      <c r="F7" s="19">
        <v>2025.0</v>
      </c>
      <c r="G7" s="21" t="str">
        <f>HYPERLINK("https://www.youtube.com/watch?v=jJyXpMmXJI0","https://www.youtube.com/watch?v=jJyXpMmXJI0")</f>
        <v>https://www.youtube.com/watch?v=jJyXpMmXJI0</v>
      </c>
    </row>
    <row r="8">
      <c r="A8" s="19">
        <v>7.0</v>
      </c>
      <c r="B8" s="20" t="s">
        <v>614</v>
      </c>
      <c r="C8" s="20" t="s">
        <v>13</v>
      </c>
      <c r="D8" s="21" t="str">
        <f>HYPERLINK("https://www.geeksforgeeks.org/computer-networks/difference-between-osi-model-and-tcp-ip-model/","https://www.geeksforgeeks.org/computer-networks/difference-between-osi-model-and-tcp-ip-model/")</f>
        <v>https://www.geeksforgeeks.org/computer-networks/difference-between-osi-model-and-tcp-ip-model/</v>
      </c>
      <c r="E8" s="20" t="s">
        <v>610</v>
      </c>
      <c r="F8" s="19">
        <v>2025.0</v>
      </c>
      <c r="G8" s="22"/>
    </row>
    <row r="9">
      <c r="A9" s="19">
        <v>8.0</v>
      </c>
      <c r="B9" s="20" t="s">
        <v>615</v>
      </c>
      <c r="C9" s="20" t="s">
        <v>13</v>
      </c>
      <c r="D9" s="21" t="str">
        <f>HYPERLINK("https://www.geeksforgeeks.org/operating-systems/virtual-memory-in-operating-system/","https://www.geeksforgeeks.org/operating-systems/virtual-memory-in-operating-system/")</f>
        <v>https://www.geeksforgeeks.org/operating-systems/virtual-memory-in-operating-system/</v>
      </c>
      <c r="E9" s="20" t="s">
        <v>610</v>
      </c>
      <c r="F9" s="19">
        <v>2025.0</v>
      </c>
      <c r="G9" s="21" t="str">
        <f>HYPERLINK("https://www.youtube.com/watch?v=o2_iCzS9-ZQ","https://www.youtube.com/watch?v=o2_iCzS9-ZQ")</f>
        <v>https://www.youtube.com/watch?v=o2_iCzS9-ZQ</v>
      </c>
    </row>
    <row r="10">
      <c r="A10" s="19">
        <v>9.0</v>
      </c>
      <c r="B10" s="20" t="s">
        <v>618</v>
      </c>
      <c r="C10" s="20" t="s">
        <v>13</v>
      </c>
      <c r="D10" s="21" t="str">
        <f>HYPERLINK("https://www.geeksforgeeks.org/operating-systems/paging-vs-segmentation/","https://www.geeksforgeeks.org/operating-systems/paging-vs-segmentation/")</f>
        <v>https://www.geeksforgeeks.org/operating-systems/paging-vs-segmentation/</v>
      </c>
      <c r="E10" s="20" t="s">
        <v>610</v>
      </c>
      <c r="F10" s="19">
        <v>2025.0</v>
      </c>
      <c r="G10" s="21" t="str">
        <f>HYPERLINK("https://www.youtube.com/watch?v=dz9Tk6KCMlQ","https://www.youtube.com/watch?v=dz9Tk6KCMlQ")</f>
        <v>https://www.youtube.com/watch?v=dz9Tk6KCMlQ</v>
      </c>
    </row>
    <row r="11">
      <c r="A11" s="19">
        <v>10.0</v>
      </c>
      <c r="B11" s="20" t="s">
        <v>622</v>
      </c>
      <c r="C11" s="20" t="s">
        <v>13</v>
      </c>
      <c r="D11" s="21" t="str">
        <f>HYPERLINK("https://www.geeksforgeeks.org/operating-systems/deadlock-prevention/","https://www.geeksforgeeks.org/operating-systems/deadlock-prevention/")</f>
        <v>https://www.geeksforgeeks.org/operating-systems/deadlock-prevention/</v>
      </c>
      <c r="E11" s="20" t="s">
        <v>610</v>
      </c>
      <c r="F11" s="19">
        <v>2025.0</v>
      </c>
      <c r="G11" s="21" t="str">
        <f>HYPERLINK("https://www.youtube.com/watch?v=pPM9Ajqmy_4","https://www.youtube.com/watch?v=pPM9Ajqmy_4")</f>
        <v>https://www.youtube.com/watch?v=pPM9Ajqmy_4</v>
      </c>
    </row>
    <row r="12">
      <c r="A12" s="19">
        <v>11.0</v>
      </c>
      <c r="B12" s="20" t="s">
        <v>625</v>
      </c>
      <c r="C12" s="20" t="s">
        <v>13</v>
      </c>
      <c r="D12" s="21" t="str">
        <f>HYPERLINK("https://www.geeksforgeeks.org/operating-systems/cpu-scheduling-in-operating-systems/","https://www.geeksforgeeks.org/operating-systems/cpu-scheduling-in-operating-systems/")</f>
        <v>https://www.geeksforgeeks.org/operating-systems/cpu-scheduling-in-operating-systems/</v>
      </c>
      <c r="E12" s="20" t="s">
        <v>610</v>
      </c>
      <c r="F12" s="19">
        <v>2025.0</v>
      </c>
      <c r="G12" s="22"/>
    </row>
    <row r="13">
      <c r="A13" s="19">
        <v>12.0</v>
      </c>
      <c r="B13" s="20" t="s">
        <v>629</v>
      </c>
      <c r="C13" s="20" t="s">
        <v>13</v>
      </c>
      <c r="D13" s="21" t="str">
        <f>HYPERLINK("https://www.geeksforgeeks.org/c/memory-layout-of-c-program/","https://www.geeksforgeeks.org/c/memory-layout-of-c-program/")</f>
        <v>https://www.geeksforgeeks.org/c/memory-layout-of-c-program/</v>
      </c>
      <c r="E13" s="20" t="s">
        <v>610</v>
      </c>
      <c r="F13" s="19">
        <v>2025.0</v>
      </c>
      <c r="G13" s="22"/>
    </row>
    <row r="14">
      <c r="A14" s="19">
        <v>13.0</v>
      </c>
      <c r="B14" s="20" t="s">
        <v>634</v>
      </c>
      <c r="C14" s="20" t="s">
        <v>13</v>
      </c>
      <c r="D14" s="21" t="str">
        <f>HYPERLINK("https://www.geeksforgeeks.org/dsa/compute-average-two-numbers-without-overflow/","https://www.geeksforgeeks.org/dsa/compute-average-two-numbers-without-overflow/")</f>
        <v>https://www.geeksforgeeks.org/dsa/compute-average-two-numbers-without-overflow/</v>
      </c>
      <c r="E14" s="20" t="s">
        <v>610</v>
      </c>
      <c r="F14" s="19">
        <v>2025.0</v>
      </c>
      <c r="G14" s="22"/>
    </row>
  </sheetData>
  <autoFilter ref="$A$1:$G$14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526</v>
      </c>
    </row>
    <row r="2">
      <c r="A2" s="19">
        <v>1.0</v>
      </c>
      <c r="B2" s="20" t="s">
        <v>620</v>
      </c>
      <c r="C2" s="20" t="s">
        <v>13</v>
      </c>
      <c r="D2" s="22"/>
      <c r="E2" s="20" t="s">
        <v>580</v>
      </c>
      <c r="F2" s="19">
        <v>2023.0</v>
      </c>
      <c r="G2" s="22"/>
    </row>
    <row r="3">
      <c r="A3" s="19">
        <v>2.0</v>
      </c>
      <c r="B3" s="20" t="s">
        <v>621</v>
      </c>
      <c r="C3" s="20" t="s">
        <v>13</v>
      </c>
      <c r="D3" s="21" t="str">
        <f>HYPERLINK("https://www.hackerrank.com/challenges/sort-roman-numerals/problem","https://www.hackerrank.com/challenges/sort-roman-numerals/problem")</f>
        <v>https://www.hackerrank.com/challenges/sort-roman-numerals/problem</v>
      </c>
      <c r="E3" s="20" t="s">
        <v>580</v>
      </c>
      <c r="F3" s="19">
        <v>2023.0</v>
      </c>
      <c r="G3" s="22"/>
    </row>
    <row r="4">
      <c r="A4" s="19">
        <v>3.0</v>
      </c>
      <c r="B4" s="20" t="s">
        <v>624</v>
      </c>
      <c r="C4" s="20" t="s">
        <v>13</v>
      </c>
      <c r="D4" s="21" t="str">
        <f>HYPERLINK("https://www.geeksforgeeks.org/dsa/check-if-a-string-is-divisible-by-another-string/","https://www.geeksforgeeks.org/dsa/check-if-a-string-is-divisible-by-another-string/")</f>
        <v>https://www.geeksforgeeks.org/dsa/check-if-a-string-is-divisible-by-another-string/</v>
      </c>
      <c r="E4" s="20" t="s">
        <v>627</v>
      </c>
      <c r="F4" s="19">
        <v>2023.0</v>
      </c>
      <c r="G4" s="22"/>
    </row>
    <row r="5">
      <c r="A5" s="19">
        <v>4.0</v>
      </c>
      <c r="B5" s="20" t="s">
        <v>628</v>
      </c>
      <c r="C5" s="20" t="s">
        <v>13</v>
      </c>
      <c r="D5" s="22"/>
      <c r="E5" s="20" t="s">
        <v>627</v>
      </c>
      <c r="F5" s="19">
        <v>2023.0</v>
      </c>
      <c r="G5" s="22"/>
    </row>
    <row r="6">
      <c r="A6" s="19">
        <v>5.0</v>
      </c>
      <c r="B6" s="20" t="s">
        <v>630</v>
      </c>
      <c r="C6" s="20" t="s">
        <v>13</v>
      </c>
      <c r="D6" s="21" t="str">
        <f>HYPERLINK("https://www.geeksforgeeks.org/dsa/convert-infix-expression-to-postfix-expression/","https://www.geeksforgeeks.org/dsa/convert-infix-expression-to-postfix-expression/")</f>
        <v>https://www.geeksforgeeks.org/dsa/convert-infix-expression-to-postfix-expression/</v>
      </c>
      <c r="E6" s="20" t="s">
        <v>632</v>
      </c>
      <c r="F6" s="19">
        <v>2023.0</v>
      </c>
      <c r="G6" s="22"/>
    </row>
    <row r="7">
      <c r="A7" s="19">
        <v>6.0</v>
      </c>
      <c r="B7" s="20" t="s">
        <v>633</v>
      </c>
      <c r="C7" s="20" t="s">
        <v>21</v>
      </c>
      <c r="D7" s="21" t="str">
        <f>HYPERLINK("https://www.geeksforgeeks.org/dsa/find-the-ordering-of-tasks-from-given-dependencies/","https://www.geeksforgeeks.org/dsa/find-the-ordering-of-tasks-from-given-dependencies/")</f>
        <v>https://www.geeksforgeeks.org/dsa/find-the-ordering-of-tasks-from-given-dependencies/</v>
      </c>
      <c r="E7" s="20" t="s">
        <v>632</v>
      </c>
      <c r="F7" s="19">
        <v>2023.0</v>
      </c>
      <c r="G7" s="22"/>
    </row>
    <row r="8">
      <c r="A8" s="19">
        <v>7.0</v>
      </c>
      <c r="B8" s="20" t="s">
        <v>636</v>
      </c>
      <c r="C8" s="20" t="s">
        <v>21</v>
      </c>
      <c r="D8" s="22"/>
      <c r="E8" s="20" t="s">
        <v>637</v>
      </c>
      <c r="F8" s="19">
        <v>2023.0</v>
      </c>
      <c r="G8" s="22"/>
    </row>
    <row r="9">
      <c r="A9" s="19">
        <v>8.0</v>
      </c>
      <c r="B9" s="20" t="s">
        <v>638</v>
      </c>
      <c r="C9" s="20" t="s">
        <v>13</v>
      </c>
      <c r="D9" s="22"/>
      <c r="E9" s="20" t="s">
        <v>580</v>
      </c>
      <c r="F9" s="19">
        <v>2026.0</v>
      </c>
      <c r="G9" s="22"/>
    </row>
    <row r="10">
      <c r="A10" s="19">
        <v>9.0</v>
      </c>
      <c r="B10" s="20" t="s">
        <v>639</v>
      </c>
      <c r="C10" s="20" t="s">
        <v>13</v>
      </c>
      <c r="D10" s="22"/>
      <c r="E10" s="20" t="s">
        <v>580</v>
      </c>
      <c r="F10" s="19">
        <v>2026.0</v>
      </c>
      <c r="G10" s="22"/>
    </row>
  </sheetData>
  <autoFilter ref="$A$1:$G$1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526</v>
      </c>
    </row>
    <row r="2">
      <c r="A2" s="19">
        <v>1.0</v>
      </c>
      <c r="B2" s="20" t="s">
        <v>647</v>
      </c>
      <c r="C2" s="20" t="s">
        <v>30</v>
      </c>
      <c r="D2" s="21" t="str">
        <f>HYPERLINK("https://www.geeksforgeeks.org/dsa/swap-two-numbers-without-using-temporary-variable/","https://www.geeksforgeeks.org/dsa/swap-two-numbers-without-using-temporary-variable/")</f>
        <v>https://www.geeksforgeeks.org/dsa/swap-two-numbers-without-using-temporary-variable/</v>
      </c>
      <c r="E2" s="20" t="s">
        <v>649</v>
      </c>
      <c r="F2" s="19">
        <v>2021.0</v>
      </c>
      <c r="G2" s="22"/>
    </row>
    <row r="3">
      <c r="A3" s="19">
        <v>2.0</v>
      </c>
      <c r="B3" s="20" t="s">
        <v>651</v>
      </c>
      <c r="C3" s="20" t="s">
        <v>13</v>
      </c>
      <c r="D3" s="21" t="str">
        <f>HYPERLINK("https://www.geeksforgeeks.org/puzzles/weight-heavy-ball/","https://www.geeksforgeeks.org/puzzles/weight-heavy-ball/")</f>
        <v>https://www.geeksforgeeks.org/puzzles/weight-heavy-ball/</v>
      </c>
      <c r="E3" s="20" t="s">
        <v>649</v>
      </c>
      <c r="F3" s="19">
        <v>2021.0</v>
      </c>
      <c r="G3" s="22"/>
    </row>
    <row r="4">
      <c r="A4" s="19">
        <v>3.0</v>
      </c>
      <c r="B4" s="20" t="s">
        <v>653</v>
      </c>
      <c r="C4" s="20" t="s">
        <v>13</v>
      </c>
      <c r="D4" s="21" t="str">
        <f>HYPERLINK("https://www.geeksforgeeks.org/dsa/write-a-c-program-to-print-all-permutations-of-a-given-string/","https://www.geeksforgeeks.org/dsa/write-a-c-program-to-print-all-permutations-of-a-given-string/")</f>
        <v>https://www.geeksforgeeks.org/dsa/write-a-c-program-to-print-all-permutations-of-a-given-string/</v>
      </c>
      <c r="E4" s="20" t="s">
        <v>649</v>
      </c>
      <c r="F4" s="19">
        <v>2021.0</v>
      </c>
      <c r="G4" s="22"/>
    </row>
    <row r="5">
      <c r="A5" s="19">
        <v>4.0</v>
      </c>
      <c r="B5" s="20" t="s">
        <v>655</v>
      </c>
      <c r="C5" s="20" t="s">
        <v>13</v>
      </c>
      <c r="D5" s="21" t="str">
        <f>HYPERLINK("https://www.geeksforgeeks.org/dsa/minimum-steps-reach-target-knight/","https://www.geeksforgeeks.org/dsa/minimum-steps-reach-target-knight/")</f>
        <v>https://www.geeksforgeeks.org/dsa/minimum-steps-reach-target-knight/</v>
      </c>
      <c r="E5" s="20" t="s">
        <v>657</v>
      </c>
      <c r="F5" s="19">
        <v>2021.0</v>
      </c>
      <c r="G5" s="22"/>
    </row>
    <row r="6">
      <c r="A6" s="19">
        <v>5.0</v>
      </c>
      <c r="B6" s="20" t="s">
        <v>658</v>
      </c>
      <c r="C6" s="20" t="s">
        <v>30</v>
      </c>
      <c r="D6" s="21" t="str">
        <f>HYPERLINK("https://www.geeksforgeeks.org/sql/sql-join-set-1-inner-left-right-and-full-joins/","https://www.geeksforgeeks.org/sql/sql-join-set-1-inner-left-right-and-full-joins/")</f>
        <v>https://www.geeksforgeeks.org/sql/sql-join-set-1-inner-left-right-and-full-joins/</v>
      </c>
      <c r="E6" s="20" t="s">
        <v>657</v>
      </c>
      <c r="F6" s="19">
        <v>2021.0</v>
      </c>
      <c r="G6" s="21" t="str">
        <f>HYPERLINK("https://www.youtube.com/watch?v=h4EQBAzW3m4","https://www.youtube.com/watch?v=h4EQBAzW3m4")</f>
        <v>https://www.youtube.com/watch?v=h4EQBAzW3m4</v>
      </c>
    </row>
    <row r="7">
      <c r="A7" s="19">
        <v>6.0</v>
      </c>
      <c r="B7" s="20" t="s">
        <v>661</v>
      </c>
      <c r="C7" s="20" t="s">
        <v>30</v>
      </c>
      <c r="D7" s="21" t="str">
        <f>HYPERLINK("https://www.geeksforgeeks.org/dsa/remove-duplicates-from-an-unsorted-linked-list/","https://www.geeksforgeeks.org/dsa/remove-duplicates-from-an-unsorted-linked-list/")</f>
        <v>https://www.geeksforgeeks.org/dsa/remove-duplicates-from-an-unsorted-linked-list/</v>
      </c>
      <c r="E7" s="20" t="s">
        <v>662</v>
      </c>
      <c r="F7" s="19">
        <v>2021.0</v>
      </c>
      <c r="G7" s="22"/>
    </row>
  </sheetData>
  <autoFilter ref="$A$1:$G$7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526</v>
      </c>
    </row>
    <row r="2">
      <c r="A2" s="19">
        <v>1.0</v>
      </c>
      <c r="B2" s="20" t="s">
        <v>668</v>
      </c>
      <c r="C2" s="20" t="s">
        <v>30</v>
      </c>
      <c r="D2" s="22"/>
      <c r="E2" s="20" t="s">
        <v>530</v>
      </c>
      <c r="F2" s="19">
        <v>2026.0</v>
      </c>
      <c r="G2" s="22"/>
    </row>
    <row r="3">
      <c r="A3" s="19">
        <v>2.0</v>
      </c>
      <c r="B3" s="20" t="s">
        <v>670</v>
      </c>
      <c r="C3" s="20" t="s">
        <v>13</v>
      </c>
      <c r="D3" s="21" t="str">
        <f>HYPERLINK("https://www.geeksforgeeks.org/dsa/longest-even-length-substring-sum-first-second-half/","https://www.geeksforgeeks.org/dsa/longest-even-length-substring-sum-first-second-half/")</f>
        <v>https://www.geeksforgeeks.org/dsa/longest-even-length-substring-sum-first-second-half/</v>
      </c>
      <c r="E3" s="20" t="s">
        <v>530</v>
      </c>
      <c r="F3" s="19">
        <v>2026.0</v>
      </c>
      <c r="G3" s="22"/>
    </row>
    <row r="4">
      <c r="A4" s="19">
        <v>3.0</v>
      </c>
      <c r="B4" s="20" t="s">
        <v>673</v>
      </c>
      <c r="C4" s="20" t="s">
        <v>13</v>
      </c>
      <c r="D4" s="21" t="str">
        <f>HYPERLINK("https://www.oracle.com/java/technologies/dataaccessobject.html","https://www.oracle.com/java/technologies/dataaccessobject.html")</f>
        <v>https://www.oracle.com/java/technologies/dataaccessobject.html</v>
      </c>
      <c r="E4" s="20" t="s">
        <v>675</v>
      </c>
      <c r="F4" s="19">
        <v>2026.0</v>
      </c>
      <c r="G4" s="22"/>
    </row>
    <row r="5">
      <c r="A5" s="19">
        <v>4.0</v>
      </c>
      <c r="B5" s="20" t="s">
        <v>676</v>
      </c>
      <c r="C5" s="20" t="s">
        <v>13</v>
      </c>
      <c r="D5" s="21" t="str">
        <f>HYPERLINK("https://www.geeksforgeeks.org/sql/sql-join-set-1-inner-left-right-and-full-joins/","https://www.geeksforgeeks.org/sql/sql-join-set-1-inner-left-right-and-full-joins/")</f>
        <v>https://www.geeksforgeeks.org/sql/sql-join-set-1-inner-left-right-and-full-joins/</v>
      </c>
      <c r="E5" s="20" t="s">
        <v>675</v>
      </c>
      <c r="F5" s="19">
        <v>2026.0</v>
      </c>
      <c r="G5" s="21" t="str">
        <f>HYPERLINK("https://www.youtube.com/watch?v=h4EQBAzW3m4","https://www.youtube.com/watch?v=h4EQBAzW3m4")</f>
        <v>https://www.youtube.com/watch?v=h4EQBAzW3m4</v>
      </c>
    </row>
    <row r="6">
      <c r="A6" s="19">
        <v>5.0</v>
      </c>
      <c r="B6" s="20" t="s">
        <v>678</v>
      </c>
      <c r="C6" s="20" t="s">
        <v>13</v>
      </c>
      <c r="D6" s="21" t="str">
        <f>HYPERLINK("https://leetcode.com/problems/longest-substring-without-repeating-characters/","https://leetcode.com/problems/longest-substring-without-repeating-characters/")</f>
        <v>https://leetcode.com/problems/longest-substring-without-repeating-characters/</v>
      </c>
      <c r="E6" s="20" t="s">
        <v>675</v>
      </c>
      <c r="F6" s="19">
        <v>2026.0</v>
      </c>
      <c r="G6" s="21" t="str">
        <f>HYPERLINK("https://www.youtube.com/watch?v=wiGpQwVHdE0","https://www.youtube.com/watch?v=wiGpQwVHdE0")</f>
        <v>https://www.youtube.com/watch?v=wiGpQwVHdE0</v>
      </c>
    </row>
    <row r="7">
      <c r="A7" s="19">
        <v>6.0</v>
      </c>
      <c r="B7" s="20" t="s">
        <v>681</v>
      </c>
      <c r="C7" s="20" t="s">
        <v>13</v>
      </c>
      <c r="D7" s="21" t="str">
        <f>HYPERLINK("https://leetcode.com/problems/restore-ip-addresses/","https://leetcode.com/problems/restore-ip-addresses/")</f>
        <v>https://leetcode.com/problems/restore-ip-addresses/</v>
      </c>
      <c r="E7" s="20" t="s">
        <v>675</v>
      </c>
      <c r="F7" s="19">
        <v>2026.0</v>
      </c>
      <c r="G7" s="21" t="str">
        <f>HYPERLINK("https://www.youtube.com/watch?v=61tN4YEdiTM","https://www.youtube.com/watch?v=61tN4YEdiTM")</f>
        <v>https://www.youtube.com/watch?v=61tN4YEdiTM</v>
      </c>
    </row>
    <row r="8">
      <c r="A8" s="19">
        <v>7.0</v>
      </c>
      <c r="B8" s="20" t="s">
        <v>685</v>
      </c>
      <c r="C8" s="20" t="s">
        <v>13</v>
      </c>
      <c r="D8" s="21" t="str">
        <f>HYPERLINK("https://docs.oracle.com/en/java/javase/21/gctuning/","https://docs.oracle.com/en/java/javase/21/gctuning/")</f>
        <v>https://docs.oracle.com/en/java/javase/21/gctuning/</v>
      </c>
      <c r="E8" s="20" t="s">
        <v>675</v>
      </c>
      <c r="F8" s="19">
        <v>2026.0</v>
      </c>
      <c r="G8" s="22"/>
    </row>
    <row r="9">
      <c r="A9" s="19">
        <v>8.0</v>
      </c>
      <c r="B9" s="20" t="s">
        <v>686</v>
      </c>
      <c r="C9" s="20" t="s">
        <v>30</v>
      </c>
      <c r="D9" s="21" t="str">
        <f>HYPERLINK("https://docs.oracle.com/javase/tutorial/java/data/numberclasses.html","https://docs.oracle.com/javase/tutorial/java/data/numberclasses.html")</f>
        <v>https://docs.oracle.com/javase/tutorial/java/data/numberclasses.html</v>
      </c>
      <c r="E9" s="20" t="s">
        <v>675</v>
      </c>
      <c r="F9" s="19">
        <v>2026.0</v>
      </c>
      <c r="G9" s="21" t="str">
        <f>HYPERLINK("https://www.youtube.com/watch?v=Fyc86kVIePE","https://www.youtube.com/watch?v=Fyc86kVIePE")</f>
        <v>https://www.youtube.com/watch?v=Fyc86kVIePE</v>
      </c>
    </row>
    <row r="10">
      <c r="A10" s="19">
        <v>9.0</v>
      </c>
      <c r="B10" s="20" t="s">
        <v>690</v>
      </c>
      <c r="C10" s="20" t="s">
        <v>30</v>
      </c>
      <c r="D10" s="21" t="str">
        <f>HYPERLINK("https://www.geeksforgeeks.org/cpp/pass-by-value-vs-pass-by-reference-in-cpp/","https://www.geeksforgeeks.org/cpp/pass-by-value-vs-pass-by-reference-in-cpp/")</f>
        <v>https://www.geeksforgeeks.org/cpp/pass-by-value-vs-pass-by-reference-in-cpp/</v>
      </c>
      <c r="E10" s="20" t="s">
        <v>675</v>
      </c>
      <c r="F10" s="19">
        <v>2026.0</v>
      </c>
      <c r="G10" s="21" t="str">
        <f>HYPERLINK("https://www.youtube.com/watch?v=HEiPxjVR8CU","https://www.youtube.com/watch?v=HEiPxjVR8CU")</f>
        <v>https://www.youtube.com/watch?v=HEiPxjVR8CU</v>
      </c>
    </row>
  </sheetData>
  <autoFilter ref="$A$1:$G$1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526</v>
      </c>
    </row>
    <row r="2">
      <c r="A2" s="19">
        <v>1.0</v>
      </c>
      <c r="B2" s="20" t="s">
        <v>683</v>
      </c>
      <c r="C2" s="20" t="s">
        <v>30</v>
      </c>
      <c r="D2" s="21" t="str">
        <f>HYPERLINK("https://www.geeksforgeeks.org/python/python-difference-between-list-and-tuple/","https://www.geeksforgeeks.org/python/python-difference-between-list-and-tuple/")</f>
        <v>https://www.geeksforgeeks.org/python/python-difference-between-list-and-tuple/</v>
      </c>
      <c r="E2" s="20" t="s">
        <v>559</v>
      </c>
      <c r="F2" s="19">
        <v>2021.0</v>
      </c>
      <c r="G2" s="22"/>
    </row>
    <row r="3">
      <c r="A3" s="19">
        <v>2.0</v>
      </c>
      <c r="B3" s="20" t="s">
        <v>687</v>
      </c>
      <c r="C3" s="20" t="s">
        <v>30</v>
      </c>
      <c r="D3" s="21" t="str">
        <f>HYPERLINK("https://www.geeksforgeeks.org/dsa/introduction-of-object-oriented-programming/","https://www.geeksforgeeks.org/dsa/introduction-of-object-oriented-programming/")</f>
        <v>https://www.geeksforgeeks.org/dsa/introduction-of-object-oriented-programming/</v>
      </c>
      <c r="E3" s="20" t="s">
        <v>559</v>
      </c>
      <c r="F3" s="19">
        <v>2021.0</v>
      </c>
      <c r="G3" s="22"/>
    </row>
    <row r="4">
      <c r="A4" s="19">
        <v>3.0</v>
      </c>
      <c r="B4" s="20" t="s">
        <v>689</v>
      </c>
      <c r="C4" s="20" t="s">
        <v>30</v>
      </c>
      <c r="D4" s="21" t="str">
        <f>HYPERLINK("https://www.geeksforgeeks.org/cpp/difference-between-abstraction-and-encapsulation-in-cpp/","https://www.geeksforgeeks.org/cpp/difference-between-abstraction-and-encapsulation-in-cpp/")</f>
        <v>https://www.geeksforgeeks.org/cpp/difference-between-abstraction-and-encapsulation-in-cpp/</v>
      </c>
      <c r="E4" s="20" t="s">
        <v>559</v>
      </c>
      <c r="F4" s="19">
        <v>2021.0</v>
      </c>
      <c r="G4" s="21" t="str">
        <f>HYPERLINK("https://www.youtube.com/watch?v=SCbWyagwHMA","https://www.youtube.com/watch?v=SCbWyagwHMA")</f>
        <v>https://www.youtube.com/watch?v=SCbWyagwHMA</v>
      </c>
    </row>
    <row r="5">
      <c r="A5" s="19">
        <v>4.0</v>
      </c>
      <c r="B5" s="20" t="s">
        <v>692</v>
      </c>
      <c r="C5" s="20" t="s">
        <v>30</v>
      </c>
      <c r="D5" s="21" t="str">
        <f>HYPERLINK("https://www.geeksforgeeks.org/java/abstract-classes-in-java/","https://www.geeksforgeeks.org/java/abstract-classes-in-java/")</f>
        <v>https://www.geeksforgeeks.org/java/abstract-classes-in-java/</v>
      </c>
      <c r="E5" s="20" t="s">
        <v>559</v>
      </c>
      <c r="F5" s="19">
        <v>2021.0</v>
      </c>
      <c r="G5" s="22"/>
    </row>
    <row r="6">
      <c r="A6" s="19">
        <v>5.0</v>
      </c>
      <c r="B6" s="20" t="s">
        <v>694</v>
      </c>
      <c r="C6" s="20" t="s">
        <v>30</v>
      </c>
      <c r="D6" s="21" t="str">
        <f>HYPERLINK("https://www.geeksforgeeks.org/java/difference-between-method-overloading-and-method-overriding-in-java/","https://www.geeksforgeeks.org/java/difference-between-method-overloading-and-method-overriding-in-java/")</f>
        <v>https://www.geeksforgeeks.org/java/difference-between-method-overloading-and-method-overriding-in-java/</v>
      </c>
      <c r="E6" s="20" t="s">
        <v>559</v>
      </c>
      <c r="F6" s="19">
        <v>2021.0</v>
      </c>
      <c r="G6" s="22"/>
    </row>
    <row r="7">
      <c r="A7" s="19">
        <v>6.0</v>
      </c>
      <c r="B7" s="20" t="s">
        <v>695</v>
      </c>
      <c r="C7" s="20" t="s">
        <v>13</v>
      </c>
      <c r="D7" s="21" t="str">
        <f>HYPERLINK("https://refactoring.guru/design-patterns/singleton","https://refactoring.guru/design-patterns/singleton")</f>
        <v>https://refactoring.guru/design-patterns/singleton</v>
      </c>
      <c r="E7" s="20" t="s">
        <v>559</v>
      </c>
      <c r="F7" s="19">
        <v>2021.0</v>
      </c>
      <c r="G7" s="22"/>
    </row>
    <row r="8">
      <c r="A8" s="19">
        <v>7.0</v>
      </c>
      <c r="B8" s="20" t="s">
        <v>697</v>
      </c>
      <c r="C8" s="20" t="s">
        <v>30</v>
      </c>
      <c r="D8" s="21" t="str">
        <f>HYPERLINK("https://www.geeksforgeeks.org/software-engineering/software-development-life-cycle-sdlc/","https://www.geeksforgeeks.org/software-engineering/software-development-life-cycle-sdlc/")</f>
        <v>https://www.geeksforgeeks.org/software-engineering/software-development-life-cycle-sdlc/</v>
      </c>
      <c r="E8" s="20" t="s">
        <v>559</v>
      </c>
      <c r="F8" s="19">
        <v>2021.0</v>
      </c>
      <c r="G8" s="21" t="str">
        <f>HYPERLINK("https://www.youtube.com/watch?v=kSU2MPeptpM","https://www.youtube.com/watch?v=kSU2MPeptpM")</f>
        <v>https://www.youtube.com/watch?v=kSU2MPeptpM</v>
      </c>
    </row>
  </sheetData>
  <autoFilter ref="$A$1:$G$8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526</v>
      </c>
    </row>
    <row r="2">
      <c r="A2" s="19">
        <v>1.0</v>
      </c>
      <c r="B2" s="20" t="s">
        <v>705</v>
      </c>
      <c r="C2" s="20" t="s">
        <v>13</v>
      </c>
      <c r="D2" s="22"/>
      <c r="E2" s="20" t="s">
        <v>707</v>
      </c>
      <c r="F2" s="19">
        <v>2023.0</v>
      </c>
      <c r="G2" s="22"/>
    </row>
  </sheetData>
  <autoFilter ref="$A$1:$G$2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526</v>
      </c>
    </row>
    <row r="2">
      <c r="A2" s="19">
        <v>1.0</v>
      </c>
      <c r="B2" s="20" t="s">
        <v>710</v>
      </c>
      <c r="C2" s="20" t="s">
        <v>30</v>
      </c>
      <c r="D2" s="21" t="str">
        <f>HYPERLINK("https://www.geeksforgeeks.org/cpp/namespace-in-c/","https://www.geeksforgeeks.org/cpp/namespace-in-c/")</f>
        <v>https://www.geeksforgeeks.org/cpp/namespace-in-c/</v>
      </c>
      <c r="E2" s="20" t="s">
        <v>559</v>
      </c>
      <c r="F2" s="19">
        <v>2021.0</v>
      </c>
      <c r="G2" s="21" t="str">
        <f>HYPERLINK("https://www.youtube.com/watch?v=R6bIBJfPWhs","https://www.youtube.com/watch?v=R6bIBJfPWhs")</f>
        <v>https://www.youtube.com/watch?v=R6bIBJfPWhs</v>
      </c>
    </row>
    <row r="3">
      <c r="A3" s="19">
        <v>2.0</v>
      </c>
      <c r="B3" s="20" t="s">
        <v>711</v>
      </c>
      <c r="C3" s="20" t="s">
        <v>30</v>
      </c>
      <c r="D3" s="21" t="str">
        <f>HYPERLINK("https://en.cppreference.com/w/c/language/identifiers.html","https://en.cppreference.com/w/c/language/identifiers.html")</f>
        <v>https://en.cppreference.com/w/c/language/identifiers.html</v>
      </c>
      <c r="E3" s="20" t="s">
        <v>559</v>
      </c>
      <c r="F3" s="19">
        <v>2021.0</v>
      </c>
      <c r="G3" s="22"/>
    </row>
    <row r="4">
      <c r="A4" s="19">
        <v>3.0</v>
      </c>
      <c r="B4" s="20" t="s">
        <v>687</v>
      </c>
      <c r="C4" s="20" t="s">
        <v>30</v>
      </c>
      <c r="D4" s="21" t="str">
        <f>HYPERLINK("https://www.geeksforgeeks.org/dsa/introduction-of-object-oriented-programming/","https://www.geeksforgeeks.org/dsa/introduction-of-object-oriented-programming/")</f>
        <v>https://www.geeksforgeeks.org/dsa/introduction-of-object-oriented-programming/</v>
      </c>
      <c r="E4" s="20" t="s">
        <v>559</v>
      </c>
      <c r="F4" s="19">
        <v>2021.0</v>
      </c>
      <c r="G4" s="22"/>
    </row>
    <row r="5">
      <c r="A5" s="19">
        <v>4.0</v>
      </c>
      <c r="B5" s="20" t="s">
        <v>712</v>
      </c>
      <c r="C5" s="20" t="s">
        <v>13</v>
      </c>
      <c r="D5" s="21" t="str">
        <f>HYPERLINK("https://www.geeksforgeeks.org/java/difference-between-abstract-class-and-interface-in-java/","https://www.geeksforgeeks.org/java/difference-between-abstract-class-and-interface-in-java/")</f>
        <v>https://www.geeksforgeeks.org/java/difference-between-abstract-class-and-interface-in-java/</v>
      </c>
      <c r="E5" s="20" t="s">
        <v>559</v>
      </c>
      <c r="F5" s="19">
        <v>2021.0</v>
      </c>
      <c r="G5" s="22"/>
    </row>
    <row r="6">
      <c r="A6" s="19">
        <v>5.0</v>
      </c>
      <c r="B6" s="20" t="s">
        <v>713</v>
      </c>
      <c r="C6" s="20" t="s">
        <v>30</v>
      </c>
      <c r="D6" s="21" t="str">
        <f>HYPERLINK("https://www.geeksforgeeks.org/java/access-modifiers-java/","https://www.geeksforgeeks.org/java/access-modifiers-java/")</f>
        <v>https://www.geeksforgeeks.org/java/access-modifiers-java/</v>
      </c>
      <c r="E6" s="20" t="s">
        <v>559</v>
      </c>
      <c r="F6" s="19">
        <v>2021.0</v>
      </c>
      <c r="G6" s="22"/>
    </row>
    <row r="7">
      <c r="A7" s="19">
        <v>6.0</v>
      </c>
      <c r="B7" s="20" t="s">
        <v>694</v>
      </c>
      <c r="C7" s="20" t="s">
        <v>30</v>
      </c>
      <c r="D7" s="21" t="str">
        <f>HYPERLINK("https://www.geeksforgeeks.org/java/difference-between-method-overloading-and-method-overriding-in-java/","https://www.geeksforgeeks.org/java/difference-between-method-overloading-and-method-overriding-in-java/")</f>
        <v>https://www.geeksforgeeks.org/java/difference-between-method-overloading-and-method-overriding-in-java/</v>
      </c>
      <c r="E7" s="20" t="s">
        <v>559</v>
      </c>
      <c r="F7" s="19">
        <v>2021.0</v>
      </c>
      <c r="G7" s="22"/>
    </row>
    <row r="8">
      <c r="A8" s="19">
        <v>7.0</v>
      </c>
      <c r="B8" s="20" t="s">
        <v>714</v>
      </c>
      <c r="C8" s="20" t="s">
        <v>30</v>
      </c>
      <c r="D8" s="21" t="str">
        <f>HYPERLINK("https://www.geeksforgeeks.org/dsa/sieve-of-eratosthenes/","https://www.geeksforgeeks.org/dsa/sieve-of-eratosthenes/")</f>
        <v>https://www.geeksforgeeks.org/dsa/sieve-of-eratosthenes/</v>
      </c>
      <c r="E8" s="20" t="s">
        <v>559</v>
      </c>
      <c r="F8" s="19">
        <v>2021.0</v>
      </c>
      <c r="G8" s="22"/>
    </row>
    <row r="9">
      <c r="A9" s="19">
        <v>8.0</v>
      </c>
      <c r="B9" s="20" t="s">
        <v>715</v>
      </c>
      <c r="C9" s="20" t="s">
        <v>30</v>
      </c>
      <c r="D9" s="21" t="str">
        <f>HYPERLINK("https://www.geeksforgeeks.org/dsa/program-for-factorial-of-a-number/","https://www.geeksforgeeks.org/dsa/program-for-factorial-of-a-number/")</f>
        <v>https://www.geeksforgeeks.org/dsa/program-for-factorial-of-a-number/</v>
      </c>
      <c r="E9" s="20" t="s">
        <v>559</v>
      </c>
      <c r="F9" s="19">
        <v>2021.0</v>
      </c>
      <c r="G9" s="22"/>
    </row>
    <row r="10">
      <c r="A10" s="19">
        <v>9.0</v>
      </c>
      <c r="B10" s="20" t="s">
        <v>716</v>
      </c>
      <c r="C10" s="20" t="s">
        <v>30</v>
      </c>
      <c r="D10" s="21" t="str">
        <f>HYPERLINK("https://www.allaboutcircuits.com/textbook/semiconductors/chpt-2/the-p-n-junction/","https://www.allaboutcircuits.com/textbook/semiconductors/chpt-2/the-p-n-junction/")</f>
        <v>https://www.allaboutcircuits.com/textbook/semiconductors/chpt-2/the-p-n-junction/</v>
      </c>
      <c r="E10" s="20" t="s">
        <v>559</v>
      </c>
      <c r="F10" s="19">
        <v>2021.0</v>
      </c>
      <c r="G10" s="21" t="str">
        <f>HYPERLINK("https://www.youtube.com/watch?v=cAu_Qv6rsM8","https://www.youtube.com/watch?v=cAu_Qv6rsM8")</f>
        <v>https://www.youtube.com/watch?v=cAu_Qv6rsM8</v>
      </c>
    </row>
    <row r="11">
      <c r="A11" s="19">
        <v>10.0</v>
      </c>
      <c r="B11" s="20" t="s">
        <v>720</v>
      </c>
      <c r="C11" s="20" t="s">
        <v>30</v>
      </c>
      <c r="D11" s="21" t="str">
        <f>HYPERLINK("https://www.allaboutcircuits.com/textbook/semiconductors/chpt-2/n-type-and-p-type-semiconductors/","https://www.allaboutcircuits.com/textbook/semiconductors/chpt-2/n-type-and-p-type-semiconductors/")</f>
        <v>https://www.allaboutcircuits.com/textbook/semiconductors/chpt-2/n-type-and-p-type-semiconductors/</v>
      </c>
      <c r="E11" s="20" t="s">
        <v>559</v>
      </c>
      <c r="F11" s="19">
        <v>2021.0</v>
      </c>
      <c r="G11" s="21" t="str">
        <f>HYPERLINK("https://www.youtube.com/watch?v=z3MlkNUuq9w","https://www.youtube.com/watch?v=z3MlkNUuq9w")</f>
        <v>https://www.youtube.com/watch?v=z3MlkNUuq9w</v>
      </c>
    </row>
    <row r="12">
      <c r="A12" s="19">
        <v>11.0</v>
      </c>
      <c r="B12" s="20" t="s">
        <v>726</v>
      </c>
      <c r="C12" s="20" t="s">
        <v>30</v>
      </c>
      <c r="D12" s="21" t="str">
        <f>HYPERLINK("https://www.allaboutcircuits.com/textbook/semiconductors/chpt-2/","https://www.allaboutcircuits.com/textbook/semiconductors/chpt-2/")</f>
        <v>https://www.allaboutcircuits.com/textbook/semiconductors/chpt-2/</v>
      </c>
      <c r="E12" s="20" t="s">
        <v>559</v>
      </c>
      <c r="F12" s="19">
        <v>2021.0</v>
      </c>
      <c r="G12" s="21" t="str">
        <f>HYPERLINK("https://www.youtube.com/watch?v=7jaa1rlW7Ak","https://www.youtube.com/watch?v=7jaa1rlW7Ak")</f>
        <v>https://www.youtube.com/watch?v=7jaa1rlW7Ak</v>
      </c>
    </row>
    <row r="13">
      <c r="A13" s="19">
        <v>12.0</v>
      </c>
      <c r="B13" s="20" t="s">
        <v>731</v>
      </c>
      <c r="C13" s="20" t="s">
        <v>13</v>
      </c>
      <c r="D13" s="21" t="str">
        <f t="shared" ref="D13:D14" si="1">HYPERLINK("https://www.allaboutcircuits.com/textbook/semiconductors/chpt-2/insulated-gate-field-effect-transistors-mosfet/","https://www.allaboutcircuits.com/textbook/semiconductors/chpt-2/insulated-gate-field-effect-transistors-mosfet/")</f>
        <v>https://www.allaboutcircuits.com/textbook/semiconductors/chpt-2/insulated-gate-field-effect-transistors-mosfet/</v>
      </c>
      <c r="E13" s="20" t="s">
        <v>559</v>
      </c>
      <c r="F13" s="19">
        <v>2021.0</v>
      </c>
      <c r="G13" s="22"/>
    </row>
    <row r="14">
      <c r="A14" s="19">
        <v>13.0</v>
      </c>
      <c r="B14" s="20" t="s">
        <v>737</v>
      </c>
      <c r="C14" s="20" t="s">
        <v>13</v>
      </c>
      <c r="D14" s="21" t="str">
        <f t="shared" si="1"/>
        <v>https://www.allaboutcircuits.com/textbook/semiconductors/chpt-2/insulated-gate-field-effect-transistors-mosfet/</v>
      </c>
      <c r="E14" s="20" t="s">
        <v>559</v>
      </c>
      <c r="F14" s="19">
        <v>2021.0</v>
      </c>
      <c r="G14" s="22"/>
    </row>
    <row r="15">
      <c r="A15" s="19">
        <v>14.0</v>
      </c>
      <c r="B15" s="20" t="s">
        <v>741</v>
      </c>
      <c r="C15" s="20" t="s">
        <v>13</v>
      </c>
      <c r="D15" s="21" t="str">
        <f>HYPERLINK("https://www.geeksforgeeks.org/cpp/shallow-copy-and-deep-copy-in-c/","https://www.geeksforgeeks.org/cpp/shallow-copy-and-deep-copy-in-c/")</f>
        <v>https://www.geeksforgeeks.org/cpp/shallow-copy-and-deep-copy-in-c/</v>
      </c>
      <c r="E15" s="20" t="s">
        <v>742</v>
      </c>
      <c r="F15" s="19">
        <v>2021.0</v>
      </c>
      <c r="G15" s="22"/>
    </row>
    <row r="16">
      <c r="A16" s="19">
        <v>15.0</v>
      </c>
      <c r="B16" s="20" t="s">
        <v>743</v>
      </c>
      <c r="C16" s="20" t="s">
        <v>13</v>
      </c>
      <c r="D16" s="21" t="str">
        <f>HYPERLINK("https://www.geeksforgeeks.org/c/what-are-near-far-and-huge-pointers/","https://www.geeksforgeeks.org/c/what-are-near-far-and-huge-pointers/")</f>
        <v>https://www.geeksforgeeks.org/c/what-are-near-far-and-huge-pointers/</v>
      </c>
      <c r="E16" s="20" t="s">
        <v>742</v>
      </c>
      <c r="F16" s="19">
        <v>2021.0</v>
      </c>
      <c r="G16" s="22"/>
    </row>
    <row r="17">
      <c r="A17" s="19">
        <v>16.0</v>
      </c>
      <c r="B17" s="20" t="s">
        <v>751</v>
      </c>
      <c r="C17" s="20" t="s">
        <v>13</v>
      </c>
      <c r="D17" s="21" t="str">
        <f>HYPERLINK("https://www.geeksforgeeks.org/cpp/inline-functions-cpp/","https://www.geeksforgeeks.org/cpp/inline-functions-cpp/")</f>
        <v>https://www.geeksforgeeks.org/cpp/inline-functions-cpp/</v>
      </c>
      <c r="E17" s="20" t="s">
        <v>742</v>
      </c>
      <c r="F17" s="19">
        <v>2021.0</v>
      </c>
      <c r="G17" s="22"/>
    </row>
    <row r="18">
      <c r="A18" s="19">
        <v>17.0</v>
      </c>
      <c r="B18" s="20" t="s">
        <v>756</v>
      </c>
      <c r="C18" s="20" t="s">
        <v>30</v>
      </c>
      <c r="D18" s="21" t="str">
        <f>HYPERLINK("https://www.geeksforgeeks.org/cpp/difference-between-c-and-c/","https://www.geeksforgeeks.org/cpp/difference-between-c-and-c/")</f>
        <v>https://www.geeksforgeeks.org/cpp/difference-between-c-and-c/</v>
      </c>
      <c r="E18" s="20" t="s">
        <v>742</v>
      </c>
      <c r="F18" s="19">
        <v>2021.0</v>
      </c>
      <c r="G18" s="22"/>
    </row>
    <row r="19">
      <c r="A19" s="19">
        <v>18.0</v>
      </c>
      <c r="B19" s="20" t="s">
        <v>759</v>
      </c>
      <c r="C19" s="20" t="s">
        <v>30</v>
      </c>
      <c r="D19" s="21" t="str">
        <f>HYPERLINK("https://www.geeksforgeeks.org/cpp/cpp-tokens/","https://www.geeksforgeeks.org/cpp/cpp-tokens/")</f>
        <v>https://www.geeksforgeeks.org/cpp/cpp-tokens/</v>
      </c>
      <c r="E19" s="20" t="s">
        <v>742</v>
      </c>
      <c r="F19" s="19">
        <v>2021.0</v>
      </c>
      <c r="G19" s="22"/>
    </row>
    <row r="20">
      <c r="A20" s="19">
        <v>19.0</v>
      </c>
      <c r="B20" s="20" t="s">
        <v>761</v>
      </c>
      <c r="C20" s="20" t="s">
        <v>13</v>
      </c>
      <c r="D20" s="21" t="str">
        <f>HYPERLINK("https://www.geeksforgeeks.org/cpp/diamond-problem-in-cpp/","https://www.geeksforgeeks.org/cpp/diamond-problem-in-cpp/")</f>
        <v>https://www.geeksforgeeks.org/cpp/diamond-problem-in-cpp/</v>
      </c>
      <c r="E20" s="20" t="s">
        <v>742</v>
      </c>
      <c r="F20" s="19">
        <v>2021.0</v>
      </c>
      <c r="G20" s="22"/>
    </row>
    <row r="21">
      <c r="A21" s="19">
        <v>20.0</v>
      </c>
      <c r="B21" s="20" t="s">
        <v>766</v>
      </c>
      <c r="C21" s="20" t="s">
        <v>30</v>
      </c>
      <c r="D21" s="21" t="str">
        <f>HYPERLINK("https://www.allaboutcircuits.com/textbook/direct-current/chpt-2/voltage-current-resistance-relate/","https://www.allaboutcircuits.com/textbook/direct-current/chpt-2/voltage-current-resistance-relate/")</f>
        <v>https://www.allaboutcircuits.com/textbook/direct-current/chpt-2/voltage-current-resistance-relate/</v>
      </c>
      <c r="E21" s="20" t="s">
        <v>742</v>
      </c>
      <c r="F21" s="19">
        <v>2021.0</v>
      </c>
      <c r="G21" s="21" t="str">
        <f>HYPERLINK("https://www.youtube.com/watch?v=jiYb-qSWgYY","https://www.youtube.com/watch?v=jiYb-qSWgYY")</f>
        <v>https://www.youtube.com/watch?v=jiYb-qSWgYY</v>
      </c>
    </row>
    <row r="22">
      <c r="A22" s="19">
        <v>21.0</v>
      </c>
      <c r="B22" s="20" t="s">
        <v>775</v>
      </c>
      <c r="C22" s="20" t="s">
        <v>30</v>
      </c>
      <c r="D22" s="21" t="str">
        <f>HYPERLINK("https://www.allaboutcircuits.com/textbook/semiconductors/chpt-2/n-type-and-p-type-semiconductors/","https://www.allaboutcircuits.com/textbook/semiconductors/chpt-2/n-type-and-p-type-semiconductors/")</f>
        <v>https://www.allaboutcircuits.com/textbook/semiconductors/chpt-2/n-type-and-p-type-semiconductors/</v>
      </c>
      <c r="E22" s="20" t="s">
        <v>742</v>
      </c>
      <c r="F22" s="19">
        <v>2021.0</v>
      </c>
      <c r="G22" s="22"/>
    </row>
    <row r="23">
      <c r="A23" s="19">
        <v>22.0</v>
      </c>
      <c r="B23" s="20" t="s">
        <v>780</v>
      </c>
      <c r="C23" s="20" t="s">
        <v>30</v>
      </c>
      <c r="D23" s="21" t="str">
        <f>HYPERLINK("https://www.allaboutcircuits.com/textbook/direct-current/chpt-8/multimeters/","https://www.allaboutcircuits.com/textbook/direct-current/chpt-8/multimeters/")</f>
        <v>https://www.allaboutcircuits.com/textbook/direct-current/chpt-8/multimeters/</v>
      </c>
      <c r="E23" s="20" t="s">
        <v>742</v>
      </c>
      <c r="F23" s="19">
        <v>2021.0</v>
      </c>
      <c r="G23" s="22"/>
    </row>
    <row r="24">
      <c r="A24" s="19">
        <v>23.0</v>
      </c>
      <c r="B24" s="20" t="s">
        <v>786</v>
      </c>
      <c r="C24" s="20" t="s">
        <v>30</v>
      </c>
      <c r="D24" s="21" t="str">
        <f>HYPERLINK("https://www.allaboutcircuits.com/textbook/semiconductors/chpt-3/rectifier-circuits/","https://www.allaboutcircuits.com/textbook/semiconductors/chpt-3/rectifier-circuits/")</f>
        <v>https://www.allaboutcircuits.com/textbook/semiconductors/chpt-3/rectifier-circuits/</v>
      </c>
      <c r="E24" s="20" t="s">
        <v>742</v>
      </c>
      <c r="F24" s="19">
        <v>2021.0</v>
      </c>
      <c r="G24" s="22"/>
    </row>
    <row r="25">
      <c r="A25" s="19">
        <v>24.0</v>
      </c>
      <c r="B25" s="20" t="s">
        <v>789</v>
      </c>
      <c r="C25" s="20" t="s">
        <v>30</v>
      </c>
      <c r="D25" s="21" t="str">
        <f>HYPERLINK("https://www.allaboutcircuits.com/textbook/semiconductors/chpt-2/the-p-n-junction/","https://www.allaboutcircuits.com/textbook/semiconductors/chpt-2/the-p-n-junction/")</f>
        <v>https://www.allaboutcircuits.com/textbook/semiconductors/chpt-2/the-p-n-junction/</v>
      </c>
      <c r="E25" s="20" t="s">
        <v>742</v>
      </c>
      <c r="F25" s="19">
        <v>2021.0</v>
      </c>
      <c r="G25" s="22"/>
    </row>
    <row r="26">
      <c r="A26" s="19">
        <v>25.0</v>
      </c>
      <c r="B26" s="20" t="s">
        <v>790</v>
      </c>
      <c r="C26" s="20" t="s">
        <v>30</v>
      </c>
      <c r="D26" s="21" t="str">
        <f>HYPERLINK("https://www.allaboutcircuits.com/textbook/direct-current/chpt-2/voltage-current-resistance-relate/","https://www.allaboutcircuits.com/textbook/direct-current/chpt-2/voltage-current-resistance-relate/")</f>
        <v>https://www.allaboutcircuits.com/textbook/direct-current/chpt-2/voltage-current-resistance-relate/</v>
      </c>
      <c r="E26" s="20" t="s">
        <v>742</v>
      </c>
      <c r="F26" s="19">
        <v>2021.0</v>
      </c>
      <c r="G26" s="22"/>
    </row>
  </sheetData>
  <autoFilter ref="$A$1:$G$26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2</v>
      </c>
      <c r="F1" s="1" t="s">
        <v>4</v>
      </c>
      <c r="G1" s="1" t="s">
        <v>8</v>
      </c>
      <c r="H1" s="1" t="s">
        <v>3</v>
      </c>
    </row>
    <row r="2">
      <c r="A2" s="2">
        <v>1.0</v>
      </c>
      <c r="B2" s="1" t="s">
        <v>9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/>
    </row>
    <row r="3">
      <c r="A3" s="2">
        <v>2.0</v>
      </c>
      <c r="B3" s="1" t="s">
        <v>18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/>
    </row>
    <row r="4">
      <c r="A4" s="2">
        <v>3.0</v>
      </c>
      <c r="B4" s="1" t="s">
        <v>19</v>
      </c>
      <c r="C4" s="1" t="s">
        <v>20</v>
      </c>
      <c r="D4" s="1" t="s">
        <v>12</v>
      </c>
      <c r="E4" s="1" t="s">
        <v>21</v>
      </c>
      <c r="F4" s="1" t="s">
        <v>14</v>
      </c>
      <c r="G4" s="1" t="s">
        <v>15</v>
      </c>
      <c r="H4" s="1"/>
    </row>
    <row r="5">
      <c r="A5" s="2">
        <v>4.0</v>
      </c>
      <c r="B5" s="1" t="s">
        <v>22</v>
      </c>
      <c r="C5" s="1" t="s">
        <v>23</v>
      </c>
      <c r="D5" s="1" t="s">
        <v>12</v>
      </c>
      <c r="E5" s="1" t="s">
        <v>21</v>
      </c>
      <c r="F5" s="1" t="s">
        <v>14</v>
      </c>
      <c r="G5" s="1" t="s">
        <v>15</v>
      </c>
      <c r="H5" s="1"/>
    </row>
    <row r="6">
      <c r="A6" s="2">
        <v>5.0</v>
      </c>
      <c r="B6" s="1" t="s">
        <v>24</v>
      </c>
      <c r="C6" s="1" t="s">
        <v>25</v>
      </c>
      <c r="D6" s="1" t="s">
        <v>12</v>
      </c>
      <c r="E6" s="1" t="s">
        <v>26</v>
      </c>
      <c r="F6" s="1" t="s">
        <v>27</v>
      </c>
      <c r="G6" s="1" t="s">
        <v>15</v>
      </c>
      <c r="H6" s="5" t="s">
        <v>717</v>
      </c>
    </row>
    <row r="7">
      <c r="A7" s="2">
        <v>6.0</v>
      </c>
      <c r="B7" s="1" t="s">
        <v>28</v>
      </c>
      <c r="C7" s="1" t="s">
        <v>29</v>
      </c>
      <c r="D7" s="1" t="s">
        <v>12</v>
      </c>
      <c r="E7" s="1" t="s">
        <v>30</v>
      </c>
      <c r="F7" s="1" t="s">
        <v>27</v>
      </c>
      <c r="G7" s="1" t="s">
        <v>15</v>
      </c>
      <c r="H7" s="5" t="s">
        <v>727</v>
      </c>
    </row>
    <row r="8">
      <c r="A8" s="2">
        <v>7.0</v>
      </c>
      <c r="B8" s="1" t="s">
        <v>34</v>
      </c>
      <c r="C8" s="1" t="s">
        <v>35</v>
      </c>
      <c r="D8" s="1" t="s">
        <v>12</v>
      </c>
      <c r="E8" s="1" t="s">
        <v>13</v>
      </c>
      <c r="F8" s="1" t="s">
        <v>27</v>
      </c>
      <c r="G8" s="1" t="s">
        <v>15</v>
      </c>
      <c r="H8" s="1"/>
    </row>
    <row r="9">
      <c r="A9" s="2">
        <v>8.0</v>
      </c>
      <c r="B9" s="1" t="s">
        <v>36</v>
      </c>
      <c r="C9" s="1" t="s">
        <v>37</v>
      </c>
      <c r="D9" s="1" t="s">
        <v>12</v>
      </c>
      <c r="E9" s="1" t="s">
        <v>13</v>
      </c>
      <c r="F9" s="1" t="s">
        <v>27</v>
      </c>
      <c r="G9" s="1" t="s">
        <v>15</v>
      </c>
      <c r="H9" s="5" t="s">
        <v>735</v>
      </c>
    </row>
    <row r="10">
      <c r="A10" s="2">
        <v>9.0</v>
      </c>
      <c r="B10" s="1" t="s">
        <v>38</v>
      </c>
      <c r="C10" s="1" t="s">
        <v>39</v>
      </c>
      <c r="D10" s="1" t="s">
        <v>12</v>
      </c>
      <c r="E10" s="1" t="s">
        <v>30</v>
      </c>
      <c r="F10" s="1" t="s">
        <v>27</v>
      </c>
      <c r="G10" s="1" t="s">
        <v>15</v>
      </c>
      <c r="H10" s="5" t="s">
        <v>746</v>
      </c>
    </row>
    <row r="11">
      <c r="A11" s="2">
        <v>10.0</v>
      </c>
      <c r="B11" s="1" t="s">
        <v>40</v>
      </c>
      <c r="C11" s="1" t="s">
        <v>41</v>
      </c>
      <c r="D11" s="1" t="s">
        <v>12</v>
      </c>
      <c r="E11" s="1" t="s">
        <v>13</v>
      </c>
      <c r="F11" s="1" t="s">
        <v>27</v>
      </c>
      <c r="G11" s="1" t="s">
        <v>15</v>
      </c>
      <c r="H11" s="5" t="s">
        <v>749</v>
      </c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</sheetData>
  <hyperlinks>
    <hyperlink r:id="rId1" ref="H6"/>
    <hyperlink r:id="rId2" ref="H7"/>
    <hyperlink r:id="rId3" ref="H9"/>
    <hyperlink r:id="rId4" ref="H10"/>
    <hyperlink r:id="rId5" ref="H11"/>
  </hyperlinks>
  <drawing r:id="rId6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  <c r="H1" s="3" t="s">
        <v>7</v>
      </c>
      <c r="I1" s="1"/>
    </row>
    <row r="2">
      <c r="A2" s="2">
        <v>17.0</v>
      </c>
      <c r="B2" s="1" t="s">
        <v>718</v>
      </c>
      <c r="C2" s="1" t="s">
        <v>30</v>
      </c>
      <c r="D2" s="5" t="s">
        <v>719</v>
      </c>
      <c r="E2" s="1" t="s">
        <v>14</v>
      </c>
      <c r="F2" s="2">
        <v>2023.0</v>
      </c>
      <c r="G2" s="1" t="s">
        <v>722</v>
      </c>
      <c r="H2" s="1" t="s">
        <v>723</v>
      </c>
      <c r="I2" s="1"/>
    </row>
    <row r="3">
      <c r="A3" s="2">
        <v>18.0</v>
      </c>
      <c r="B3" s="1" t="s">
        <v>724</v>
      </c>
      <c r="C3" s="1" t="s">
        <v>13</v>
      </c>
      <c r="D3" s="5" t="s">
        <v>725</v>
      </c>
      <c r="E3" s="1" t="s">
        <v>14</v>
      </c>
      <c r="F3" s="2">
        <v>2023.0</v>
      </c>
      <c r="G3" s="1" t="s">
        <v>728</v>
      </c>
      <c r="H3" s="1" t="s">
        <v>723</v>
      </c>
      <c r="I3" s="1"/>
    </row>
    <row r="4">
      <c r="A4" s="2">
        <v>19.0</v>
      </c>
      <c r="B4" s="1" t="s">
        <v>729</v>
      </c>
      <c r="C4" s="1" t="s">
        <v>30</v>
      </c>
      <c r="D4" s="5" t="s">
        <v>730</v>
      </c>
      <c r="E4" s="1" t="s">
        <v>14</v>
      </c>
      <c r="F4" s="2">
        <v>2023.0</v>
      </c>
      <c r="G4" s="1" t="s">
        <v>732</v>
      </c>
      <c r="H4" s="1" t="s">
        <v>723</v>
      </c>
      <c r="I4" s="1"/>
    </row>
    <row r="5">
      <c r="A5" s="2">
        <v>20.0</v>
      </c>
      <c r="B5" s="1" t="s">
        <v>733</v>
      </c>
      <c r="C5" s="1" t="s">
        <v>13</v>
      </c>
      <c r="D5" s="1"/>
      <c r="E5" s="1" t="s">
        <v>14</v>
      </c>
      <c r="F5" s="2">
        <v>2023.0</v>
      </c>
      <c r="G5" s="1" t="s">
        <v>734</v>
      </c>
      <c r="H5" s="1" t="s">
        <v>723</v>
      </c>
      <c r="I5" s="1"/>
    </row>
    <row r="6">
      <c r="A6" s="2">
        <v>21.0</v>
      </c>
      <c r="B6" s="1" t="s">
        <v>736</v>
      </c>
      <c r="C6" s="1" t="s">
        <v>13</v>
      </c>
      <c r="D6" s="1"/>
      <c r="E6" s="1" t="s">
        <v>14</v>
      </c>
      <c r="F6" s="2">
        <v>2023.0</v>
      </c>
      <c r="G6" s="1" t="s">
        <v>738</v>
      </c>
      <c r="H6" s="1" t="s">
        <v>723</v>
      </c>
      <c r="I6" s="1"/>
    </row>
    <row r="7">
      <c r="A7" s="2">
        <v>22.0</v>
      </c>
      <c r="B7" s="1" t="s">
        <v>739</v>
      </c>
      <c r="C7" s="1" t="s">
        <v>13</v>
      </c>
      <c r="D7" s="5" t="s">
        <v>740</v>
      </c>
      <c r="E7" s="1" t="s">
        <v>14</v>
      </c>
      <c r="F7" s="2">
        <v>2023.0</v>
      </c>
      <c r="G7" s="1" t="s">
        <v>734</v>
      </c>
      <c r="H7" s="1" t="s">
        <v>723</v>
      </c>
      <c r="I7" s="1"/>
    </row>
    <row r="8">
      <c r="A8" s="2">
        <v>23.0</v>
      </c>
      <c r="B8" s="1" t="s">
        <v>744</v>
      </c>
      <c r="C8" s="1" t="s">
        <v>13</v>
      </c>
      <c r="D8" s="5" t="s">
        <v>745</v>
      </c>
      <c r="E8" s="1" t="s">
        <v>27</v>
      </c>
      <c r="F8" s="2">
        <v>2023.0</v>
      </c>
      <c r="G8" s="1" t="s">
        <v>734</v>
      </c>
      <c r="H8" s="1" t="s">
        <v>723</v>
      </c>
      <c r="I8" s="1"/>
    </row>
    <row r="9">
      <c r="A9" s="2">
        <v>24.0</v>
      </c>
      <c r="B9" s="1" t="s">
        <v>747</v>
      </c>
      <c r="C9" s="1" t="s">
        <v>13</v>
      </c>
      <c r="D9" s="5" t="s">
        <v>748</v>
      </c>
      <c r="E9" s="1" t="s">
        <v>27</v>
      </c>
      <c r="F9" s="2">
        <v>2023.0</v>
      </c>
      <c r="G9" s="1" t="s">
        <v>750</v>
      </c>
      <c r="H9" s="1" t="s">
        <v>723</v>
      </c>
      <c r="I9" s="1"/>
    </row>
    <row r="10">
      <c r="A10" s="2">
        <v>25.0</v>
      </c>
      <c r="B10" s="1" t="s">
        <v>752</v>
      </c>
      <c r="C10" s="1" t="s">
        <v>13</v>
      </c>
      <c r="D10" s="1"/>
      <c r="E10" s="1" t="s">
        <v>27</v>
      </c>
      <c r="F10" s="2">
        <v>2023.0</v>
      </c>
      <c r="G10" s="1" t="s">
        <v>753</v>
      </c>
      <c r="H10" s="1" t="s">
        <v>723</v>
      </c>
      <c r="I10" s="1"/>
    </row>
    <row r="11">
      <c r="A11" s="2">
        <v>26.0</v>
      </c>
      <c r="B11" s="1" t="s">
        <v>754</v>
      </c>
      <c r="C11" s="1" t="s">
        <v>21</v>
      </c>
      <c r="D11" s="1"/>
      <c r="E11" s="1" t="s">
        <v>27</v>
      </c>
      <c r="F11" s="2">
        <v>2023.0</v>
      </c>
      <c r="G11" s="1" t="s">
        <v>755</v>
      </c>
      <c r="H11" s="1" t="s">
        <v>723</v>
      </c>
      <c r="I11" s="1"/>
    </row>
    <row r="12">
      <c r="A12" s="2">
        <v>27.0</v>
      </c>
      <c r="B12" s="1" t="s">
        <v>757</v>
      </c>
      <c r="C12" s="1" t="s">
        <v>30</v>
      </c>
      <c r="D12" s="1"/>
      <c r="E12" s="1" t="s">
        <v>27</v>
      </c>
      <c r="F12" s="2">
        <v>2023.0</v>
      </c>
      <c r="G12" s="1" t="s">
        <v>758</v>
      </c>
      <c r="H12" s="1" t="s">
        <v>723</v>
      </c>
      <c r="I12" s="1"/>
    </row>
  </sheetData>
  <hyperlinks>
    <hyperlink r:id="rId1" ref="D2"/>
    <hyperlink r:id="rId2" ref="D3"/>
    <hyperlink r:id="rId3" ref="D4"/>
    <hyperlink r:id="rId4" ref="D7"/>
    <hyperlink r:id="rId5" ref="D8"/>
    <hyperlink r:id="rId6" ref="D9"/>
  </hyperlinks>
  <drawing r:id="rId7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721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/>
    </row>
    <row r="2">
      <c r="A2" s="2">
        <v>1.0</v>
      </c>
      <c r="B2" s="1" t="s">
        <v>760</v>
      </c>
      <c r="C2" s="1" t="s">
        <v>30</v>
      </c>
      <c r="D2" s="1"/>
      <c r="E2" s="1" t="s">
        <v>14</v>
      </c>
      <c r="F2" s="2">
        <v>2026.0</v>
      </c>
      <c r="G2" s="1" t="s">
        <v>732</v>
      </c>
      <c r="H2" s="1" t="s">
        <v>762</v>
      </c>
      <c r="I2" s="1"/>
    </row>
    <row r="3">
      <c r="A3" s="2">
        <v>2.0</v>
      </c>
      <c r="B3" s="1" t="s">
        <v>763</v>
      </c>
      <c r="C3" s="1" t="s">
        <v>13</v>
      </c>
      <c r="D3" s="1"/>
      <c r="E3" s="1" t="s">
        <v>14</v>
      </c>
      <c r="F3" s="2">
        <v>2026.0</v>
      </c>
      <c r="G3" s="1" t="s">
        <v>764</v>
      </c>
      <c r="H3" s="1" t="s">
        <v>762</v>
      </c>
      <c r="I3" s="1"/>
    </row>
    <row r="4">
      <c r="A4" s="2">
        <v>3.0</v>
      </c>
      <c r="B4" s="1" t="s">
        <v>765</v>
      </c>
      <c r="C4" s="1" t="s">
        <v>30</v>
      </c>
      <c r="D4" s="1"/>
      <c r="E4" s="1" t="s">
        <v>27</v>
      </c>
      <c r="F4" s="2">
        <v>2026.0</v>
      </c>
      <c r="G4" s="1" t="s">
        <v>767</v>
      </c>
      <c r="H4" s="1" t="s">
        <v>762</v>
      </c>
      <c r="I4" s="1"/>
    </row>
    <row r="5">
      <c r="A5" s="2">
        <v>4.0</v>
      </c>
      <c r="B5" s="1" t="s">
        <v>768</v>
      </c>
      <c r="C5" s="1" t="s">
        <v>30</v>
      </c>
      <c r="D5" s="1"/>
      <c r="E5" s="1" t="s">
        <v>14</v>
      </c>
      <c r="F5" s="2">
        <v>2025.0</v>
      </c>
      <c r="G5" s="1" t="s">
        <v>732</v>
      </c>
      <c r="H5" s="1" t="s">
        <v>762</v>
      </c>
      <c r="I5" s="1"/>
    </row>
    <row r="6">
      <c r="A6" s="2">
        <v>5.0</v>
      </c>
      <c r="B6" s="1" t="s">
        <v>769</v>
      </c>
      <c r="C6" s="1" t="s">
        <v>30</v>
      </c>
      <c r="D6" s="1"/>
      <c r="E6" s="1" t="s">
        <v>14</v>
      </c>
      <c r="F6" s="2">
        <v>2025.0</v>
      </c>
      <c r="G6" s="1" t="s">
        <v>764</v>
      </c>
      <c r="H6" s="1" t="s">
        <v>762</v>
      </c>
      <c r="I6" s="1"/>
    </row>
    <row r="7">
      <c r="A7" s="2">
        <v>6.0</v>
      </c>
      <c r="B7" s="1" t="s">
        <v>770</v>
      </c>
      <c r="C7" s="1" t="s">
        <v>30</v>
      </c>
      <c r="D7" s="1"/>
      <c r="E7" s="1" t="s">
        <v>14</v>
      </c>
      <c r="F7" s="2">
        <v>2026.0</v>
      </c>
      <c r="G7" s="1" t="s">
        <v>753</v>
      </c>
      <c r="H7" s="1" t="s">
        <v>762</v>
      </c>
      <c r="I7" s="1"/>
    </row>
    <row r="8">
      <c r="A8" s="2">
        <v>7.0</v>
      </c>
      <c r="B8" s="1" t="s">
        <v>771</v>
      </c>
      <c r="C8" s="1" t="s">
        <v>30</v>
      </c>
      <c r="D8" s="1"/>
      <c r="E8" s="1" t="s">
        <v>14</v>
      </c>
      <c r="F8" s="2">
        <v>2026.0</v>
      </c>
      <c r="G8" s="1" t="s">
        <v>772</v>
      </c>
      <c r="H8" s="1" t="s">
        <v>762</v>
      </c>
      <c r="I8" s="1"/>
    </row>
    <row r="9">
      <c r="A9" s="2">
        <v>8.0</v>
      </c>
      <c r="B9" s="1" t="s">
        <v>773</v>
      </c>
      <c r="C9" s="1" t="s">
        <v>30</v>
      </c>
      <c r="D9" s="1"/>
      <c r="E9" s="1" t="s">
        <v>14</v>
      </c>
      <c r="F9" s="2">
        <v>2026.0</v>
      </c>
      <c r="G9" s="1" t="s">
        <v>774</v>
      </c>
      <c r="H9" s="1" t="s">
        <v>762</v>
      </c>
      <c r="I9" s="1"/>
    </row>
    <row r="10">
      <c r="A10" s="2">
        <v>9.0</v>
      </c>
      <c r="B10" s="1" t="s">
        <v>776</v>
      </c>
      <c r="C10" s="1" t="s">
        <v>30</v>
      </c>
      <c r="D10" s="1"/>
      <c r="E10" s="1" t="s">
        <v>27</v>
      </c>
      <c r="F10" s="2">
        <v>2025.0</v>
      </c>
      <c r="G10" s="1" t="s">
        <v>777</v>
      </c>
      <c r="H10" s="1" t="s">
        <v>762</v>
      </c>
      <c r="I10" s="1"/>
    </row>
    <row r="11">
      <c r="A11" s="2">
        <v>10.0</v>
      </c>
      <c r="B11" s="1" t="s">
        <v>778</v>
      </c>
      <c r="C11" s="1" t="s">
        <v>30</v>
      </c>
      <c r="D11" s="1"/>
      <c r="E11" s="1" t="s">
        <v>14</v>
      </c>
      <c r="F11" s="2">
        <v>2026.0</v>
      </c>
      <c r="G11" s="1" t="s">
        <v>758</v>
      </c>
      <c r="H11" s="1" t="s">
        <v>762</v>
      </c>
      <c r="I11" s="1"/>
    </row>
    <row r="12">
      <c r="A12" s="2">
        <v>11.0</v>
      </c>
      <c r="B12" s="1" t="s">
        <v>779</v>
      </c>
      <c r="C12" s="1" t="s">
        <v>30</v>
      </c>
      <c r="D12" s="1"/>
      <c r="E12" s="1" t="s">
        <v>14</v>
      </c>
      <c r="F12" s="2">
        <v>2026.0</v>
      </c>
      <c r="G12" s="1" t="s">
        <v>758</v>
      </c>
      <c r="H12" s="1" t="s">
        <v>762</v>
      </c>
      <c r="I12" s="1"/>
    </row>
    <row r="13">
      <c r="A13" s="2">
        <v>12.0</v>
      </c>
      <c r="B13" s="1" t="s">
        <v>781</v>
      </c>
      <c r="C13" s="1" t="s">
        <v>13</v>
      </c>
      <c r="D13" s="1"/>
      <c r="E13" s="1" t="s">
        <v>27</v>
      </c>
      <c r="F13" s="2">
        <v>2025.0</v>
      </c>
      <c r="G13" s="1" t="s">
        <v>782</v>
      </c>
      <c r="H13" s="1" t="s">
        <v>762</v>
      </c>
      <c r="I13" s="1"/>
    </row>
    <row r="14">
      <c r="A14" s="2">
        <v>13.0</v>
      </c>
      <c r="B14" s="1" t="s">
        <v>783</v>
      </c>
      <c r="C14" s="1" t="s">
        <v>30</v>
      </c>
      <c r="D14" s="1"/>
      <c r="E14" s="1" t="s">
        <v>14</v>
      </c>
      <c r="F14" s="2">
        <v>2026.0</v>
      </c>
      <c r="G14" s="1" t="s">
        <v>784</v>
      </c>
      <c r="H14" s="1" t="s">
        <v>762</v>
      </c>
      <c r="I14" s="1"/>
    </row>
    <row r="15">
      <c r="A15" s="2">
        <v>14.0</v>
      </c>
      <c r="B15" s="1" t="s">
        <v>785</v>
      </c>
      <c r="C15" s="1" t="s">
        <v>13</v>
      </c>
      <c r="D15" s="1"/>
      <c r="E15" s="1" t="s">
        <v>14</v>
      </c>
      <c r="F15" s="2">
        <v>2026.0</v>
      </c>
      <c r="G15" s="1" t="s">
        <v>777</v>
      </c>
      <c r="H15" s="1" t="s">
        <v>762</v>
      </c>
      <c r="I15" s="1"/>
    </row>
    <row r="16">
      <c r="A16" s="2">
        <v>15.0</v>
      </c>
      <c r="B16" s="1" t="s">
        <v>787</v>
      </c>
      <c r="C16" s="1" t="s">
        <v>13</v>
      </c>
      <c r="D16" s="1"/>
      <c r="E16" s="1" t="s">
        <v>14</v>
      </c>
      <c r="F16" s="2">
        <v>2026.0</v>
      </c>
      <c r="G16" s="1" t="s">
        <v>753</v>
      </c>
      <c r="H16" s="1" t="s">
        <v>762</v>
      </c>
      <c r="I16" s="1"/>
    </row>
    <row r="17">
      <c r="A17" s="2">
        <v>16.0</v>
      </c>
      <c r="B17" s="1" t="s">
        <v>788</v>
      </c>
      <c r="C17" s="1" t="s">
        <v>30</v>
      </c>
      <c r="D17" s="1"/>
      <c r="E17" s="1" t="s">
        <v>27</v>
      </c>
      <c r="F17" s="2">
        <v>2026.0</v>
      </c>
      <c r="G17" s="1" t="s">
        <v>777</v>
      </c>
      <c r="H17" s="1" t="s">
        <v>762</v>
      </c>
      <c r="I17" s="1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  <c r="H1" s="3" t="s">
        <v>7</v>
      </c>
    </row>
    <row r="2">
      <c r="A2" s="2">
        <v>35.0</v>
      </c>
      <c r="B2" s="1" t="s">
        <v>791</v>
      </c>
      <c r="C2" s="1" t="s">
        <v>13</v>
      </c>
      <c r="D2" s="1"/>
      <c r="E2" s="1" t="s">
        <v>14</v>
      </c>
      <c r="F2" s="2">
        <v>2026.0</v>
      </c>
      <c r="G2" s="1" t="s">
        <v>792</v>
      </c>
      <c r="H2" s="1" t="s">
        <v>793</v>
      </c>
    </row>
    <row r="3">
      <c r="A3" s="2">
        <v>36.0</v>
      </c>
      <c r="B3" s="1" t="s">
        <v>794</v>
      </c>
      <c r="C3" s="1" t="s">
        <v>21</v>
      </c>
      <c r="D3" s="5" t="s">
        <v>795</v>
      </c>
      <c r="E3" s="1" t="s">
        <v>14</v>
      </c>
      <c r="F3" s="2">
        <v>2026.0</v>
      </c>
      <c r="G3" s="1" t="s">
        <v>796</v>
      </c>
      <c r="H3" s="1" t="s">
        <v>793</v>
      </c>
    </row>
    <row r="4">
      <c r="A4" s="2">
        <v>37.0</v>
      </c>
      <c r="B4" s="1" t="s">
        <v>797</v>
      </c>
      <c r="C4" s="1" t="s">
        <v>21</v>
      </c>
      <c r="D4" s="1"/>
      <c r="E4" s="1" t="s">
        <v>14</v>
      </c>
      <c r="F4" s="2">
        <v>2026.0</v>
      </c>
      <c r="G4" s="1" t="s">
        <v>798</v>
      </c>
      <c r="H4" s="1" t="s">
        <v>793</v>
      </c>
    </row>
    <row r="5">
      <c r="A5" s="2">
        <v>38.0</v>
      </c>
      <c r="B5" s="1" t="s">
        <v>799</v>
      </c>
      <c r="C5" s="1" t="s">
        <v>30</v>
      </c>
      <c r="D5" s="5" t="s">
        <v>800</v>
      </c>
      <c r="E5" s="1" t="s">
        <v>14</v>
      </c>
      <c r="F5" s="2">
        <v>2026.0</v>
      </c>
      <c r="G5" s="1" t="s">
        <v>792</v>
      </c>
      <c r="H5" s="1" t="s">
        <v>793</v>
      </c>
    </row>
    <row r="6">
      <c r="A6" s="2">
        <v>39.0</v>
      </c>
      <c r="B6" s="1" t="s">
        <v>801</v>
      </c>
      <c r="C6" s="1" t="s">
        <v>13</v>
      </c>
      <c r="D6" s="5" t="s">
        <v>803</v>
      </c>
      <c r="E6" s="1" t="s">
        <v>14</v>
      </c>
      <c r="F6" s="2">
        <v>2026.0</v>
      </c>
      <c r="G6" s="1" t="s">
        <v>810</v>
      </c>
      <c r="H6" s="1" t="s">
        <v>793</v>
      </c>
    </row>
    <row r="7">
      <c r="A7" s="2">
        <v>40.0</v>
      </c>
      <c r="B7" s="1" t="s">
        <v>811</v>
      </c>
      <c r="C7" s="1" t="s">
        <v>21</v>
      </c>
      <c r="D7" s="1"/>
      <c r="E7" s="1" t="s">
        <v>14</v>
      </c>
      <c r="F7" s="2">
        <v>2026.0</v>
      </c>
      <c r="G7" s="1" t="s">
        <v>812</v>
      </c>
      <c r="H7" s="1" t="s">
        <v>793</v>
      </c>
    </row>
    <row r="8">
      <c r="A8" s="2">
        <v>41.0</v>
      </c>
      <c r="B8" s="1" t="s">
        <v>813</v>
      </c>
      <c r="C8" s="1" t="s">
        <v>13</v>
      </c>
      <c r="D8" s="5" t="s">
        <v>814</v>
      </c>
      <c r="E8" s="1" t="s">
        <v>27</v>
      </c>
      <c r="F8" s="2">
        <v>2026.0</v>
      </c>
      <c r="G8" s="1" t="s">
        <v>821</v>
      </c>
      <c r="H8" s="1" t="s">
        <v>793</v>
      </c>
    </row>
  </sheetData>
  <hyperlinks>
    <hyperlink r:id="rId1" ref="D3"/>
    <hyperlink r:id="rId2" ref="D5"/>
    <hyperlink r:id="rId3" ref="D6"/>
    <hyperlink r:id="rId4" ref="D8"/>
  </hyperlinks>
  <drawing r:id="rId5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721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  <c r="H1" s="3" t="s">
        <v>7</v>
      </c>
      <c r="I1" s="1"/>
    </row>
    <row r="2">
      <c r="A2" s="2">
        <v>31.0</v>
      </c>
      <c r="B2" s="1" t="s">
        <v>802</v>
      </c>
      <c r="C2" s="1" t="s">
        <v>30</v>
      </c>
      <c r="D2" s="5" t="s">
        <v>805</v>
      </c>
      <c r="E2" s="1" t="s">
        <v>27</v>
      </c>
      <c r="F2" s="2">
        <v>2025.0</v>
      </c>
      <c r="G2" s="1" t="s">
        <v>37</v>
      </c>
      <c r="H2" s="1" t="s">
        <v>815</v>
      </c>
      <c r="I2" s="1"/>
    </row>
    <row r="3">
      <c r="A3" s="2">
        <v>32.0</v>
      </c>
      <c r="B3" s="1" t="s">
        <v>816</v>
      </c>
      <c r="C3" s="1" t="s">
        <v>13</v>
      </c>
      <c r="D3" s="5" t="s">
        <v>818</v>
      </c>
      <c r="E3" s="1" t="s">
        <v>27</v>
      </c>
      <c r="F3" s="2">
        <v>2025.0</v>
      </c>
      <c r="G3" s="1" t="s">
        <v>822</v>
      </c>
      <c r="H3" s="1" t="s">
        <v>815</v>
      </c>
      <c r="I3" s="1"/>
    </row>
  </sheetData>
  <hyperlinks>
    <hyperlink r:id="rId1" ref="D2"/>
    <hyperlink r:id="rId2" ref="D3"/>
  </hyperlinks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  <c r="H1" s="3" t="s">
        <v>7</v>
      </c>
      <c r="I1" s="1"/>
    </row>
    <row r="2">
      <c r="A2" s="2">
        <v>28.0</v>
      </c>
      <c r="B2" s="1" t="s">
        <v>804</v>
      </c>
      <c r="C2" s="1" t="s">
        <v>30</v>
      </c>
      <c r="D2" s="1"/>
      <c r="E2" s="1" t="s">
        <v>14</v>
      </c>
      <c r="F2" s="2">
        <v>2025.0</v>
      </c>
      <c r="G2" s="1" t="s">
        <v>806</v>
      </c>
      <c r="H2" s="1" t="s">
        <v>807</v>
      </c>
      <c r="I2" s="1"/>
    </row>
    <row r="3">
      <c r="A3" s="2">
        <v>29.0</v>
      </c>
      <c r="B3" s="1" t="s">
        <v>808</v>
      </c>
      <c r="C3" s="1" t="s">
        <v>21</v>
      </c>
      <c r="D3" s="5" t="s">
        <v>809</v>
      </c>
      <c r="E3" s="1" t="s">
        <v>14</v>
      </c>
      <c r="F3" s="2">
        <v>2025.0</v>
      </c>
      <c r="G3" s="1" t="s">
        <v>817</v>
      </c>
      <c r="H3" s="1" t="s">
        <v>807</v>
      </c>
      <c r="I3" s="1"/>
    </row>
    <row r="4">
      <c r="A4" s="2">
        <v>30.0</v>
      </c>
      <c r="B4" s="1" t="s">
        <v>819</v>
      </c>
      <c r="C4" s="1" t="s">
        <v>21</v>
      </c>
      <c r="D4" s="5" t="s">
        <v>820</v>
      </c>
      <c r="E4" s="1" t="s">
        <v>27</v>
      </c>
      <c r="F4" s="2">
        <v>2025.0</v>
      </c>
      <c r="G4" s="1" t="s">
        <v>37</v>
      </c>
      <c r="H4" s="1" t="s">
        <v>807</v>
      </c>
      <c r="I4" s="1"/>
    </row>
  </sheetData>
  <hyperlinks>
    <hyperlink r:id="rId1" ref="D3"/>
    <hyperlink r:id="rId2" ref="D4"/>
  </hyperlinks>
  <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  <c r="H1" s="3" t="s">
        <v>7</v>
      </c>
      <c r="I1" s="1"/>
    </row>
    <row r="2">
      <c r="A2" s="23">
        <v>1.0</v>
      </c>
      <c r="B2" s="24" t="s">
        <v>823</v>
      </c>
      <c r="C2" s="24"/>
      <c r="D2" s="24"/>
      <c r="E2" s="24" t="s">
        <v>559</v>
      </c>
      <c r="F2" s="23">
        <v>2026.0</v>
      </c>
      <c r="G2" s="24" t="s">
        <v>824</v>
      </c>
      <c r="H2" s="24" t="s">
        <v>825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  <c r="H1" s="3" t="s">
        <v>7</v>
      </c>
      <c r="I1" s="1"/>
    </row>
    <row r="2">
      <c r="A2" s="27">
        <v>35.0</v>
      </c>
      <c r="B2" s="24" t="s">
        <v>827</v>
      </c>
      <c r="C2" s="28" t="s">
        <v>13</v>
      </c>
      <c r="D2" s="24"/>
      <c r="E2" s="28" t="s">
        <v>580</v>
      </c>
      <c r="F2" s="27">
        <v>2026.0</v>
      </c>
      <c r="G2" s="28" t="s">
        <v>830</v>
      </c>
      <c r="H2" s="28" t="s">
        <v>831</v>
      </c>
      <c r="I2" s="1"/>
    </row>
    <row r="3">
      <c r="A3" s="27">
        <v>36.0</v>
      </c>
      <c r="B3" s="30"/>
      <c r="C3" s="28" t="s">
        <v>13</v>
      </c>
      <c r="D3" s="24"/>
      <c r="E3" s="28" t="s">
        <v>580</v>
      </c>
      <c r="F3" s="27">
        <v>2026.0</v>
      </c>
      <c r="G3" s="28" t="s">
        <v>833</v>
      </c>
      <c r="H3" s="28" t="s">
        <v>831</v>
      </c>
      <c r="I3" s="1"/>
    </row>
    <row r="4">
      <c r="A4" s="27">
        <v>37.0</v>
      </c>
      <c r="B4" s="28" t="s">
        <v>836</v>
      </c>
      <c r="C4" s="24" t="s">
        <v>21</v>
      </c>
      <c r="D4" s="24"/>
      <c r="E4" s="28" t="s">
        <v>675</v>
      </c>
      <c r="F4" s="27">
        <v>2026.0</v>
      </c>
      <c r="G4" s="28" t="s">
        <v>839</v>
      </c>
      <c r="H4" s="28" t="s">
        <v>831</v>
      </c>
      <c r="I4" s="1"/>
    </row>
    <row r="5">
      <c r="A5" s="27">
        <v>38.0</v>
      </c>
      <c r="B5" s="28" t="s">
        <v>841</v>
      </c>
      <c r="C5" s="28"/>
      <c r="D5" s="24"/>
      <c r="E5" s="28" t="s">
        <v>530</v>
      </c>
      <c r="F5" s="27">
        <v>2026.0</v>
      </c>
      <c r="G5" s="28" t="s">
        <v>843</v>
      </c>
      <c r="H5" s="28" t="s">
        <v>844</v>
      </c>
      <c r="I5" s="1"/>
    </row>
    <row r="6">
      <c r="A6" s="27">
        <v>39.0</v>
      </c>
      <c r="B6" s="28" t="s">
        <v>847</v>
      </c>
      <c r="C6" s="24" t="s">
        <v>30</v>
      </c>
      <c r="D6" s="24"/>
      <c r="E6" s="28" t="s">
        <v>604</v>
      </c>
      <c r="F6" s="27">
        <v>2026.0</v>
      </c>
      <c r="G6" s="28" t="s">
        <v>849</v>
      </c>
      <c r="H6" s="28" t="s">
        <v>844</v>
      </c>
      <c r="I6" s="1"/>
    </row>
    <row r="7">
      <c r="A7" s="27">
        <v>40.0</v>
      </c>
      <c r="B7" s="28" t="s">
        <v>850</v>
      </c>
      <c r="C7" s="24"/>
      <c r="D7" s="24"/>
      <c r="E7" s="28" t="s">
        <v>604</v>
      </c>
      <c r="F7" s="27">
        <v>2026.0</v>
      </c>
      <c r="G7" s="28" t="s">
        <v>849</v>
      </c>
      <c r="H7" s="28" t="s">
        <v>844</v>
      </c>
      <c r="I7" s="1"/>
    </row>
    <row r="8">
      <c r="A8" s="27">
        <v>41.0</v>
      </c>
      <c r="B8" s="28" t="s">
        <v>851</v>
      </c>
      <c r="C8" s="28"/>
      <c r="D8" s="24"/>
      <c r="E8" s="28" t="s">
        <v>604</v>
      </c>
      <c r="F8" s="27">
        <v>2026.0</v>
      </c>
      <c r="G8" s="28" t="s">
        <v>753</v>
      </c>
      <c r="H8" s="28" t="s">
        <v>844</v>
      </c>
      <c r="I8" s="1"/>
    </row>
    <row r="9">
      <c r="A9" s="27">
        <v>42.0</v>
      </c>
      <c r="B9" s="28" t="s">
        <v>852</v>
      </c>
      <c r="C9" s="28" t="s">
        <v>13</v>
      </c>
      <c r="D9" s="28"/>
      <c r="E9" s="28" t="s">
        <v>604</v>
      </c>
      <c r="F9" s="27">
        <v>2026.0</v>
      </c>
      <c r="G9" s="28" t="s">
        <v>849</v>
      </c>
      <c r="H9" s="28" t="s">
        <v>844</v>
      </c>
      <c r="I9" s="1"/>
    </row>
    <row r="10">
      <c r="A10" s="27">
        <v>43.0</v>
      </c>
      <c r="B10" s="28" t="s">
        <v>856</v>
      </c>
      <c r="C10" s="24" t="s">
        <v>30</v>
      </c>
      <c r="D10" s="32" t="s">
        <v>857</v>
      </c>
      <c r="E10" s="28" t="s">
        <v>604</v>
      </c>
      <c r="F10" s="27">
        <v>2026.0</v>
      </c>
      <c r="G10" s="28" t="s">
        <v>866</v>
      </c>
      <c r="H10" s="28" t="s">
        <v>844</v>
      </c>
      <c r="I10" s="1"/>
    </row>
    <row r="11">
      <c r="A11" s="27">
        <v>44.0</v>
      </c>
      <c r="B11" s="28" t="s">
        <v>867</v>
      </c>
      <c r="C11" s="28"/>
      <c r="D11" s="24"/>
      <c r="E11" s="28" t="s">
        <v>610</v>
      </c>
      <c r="F11" s="27">
        <v>2026.0</v>
      </c>
      <c r="G11" s="28" t="s">
        <v>738</v>
      </c>
      <c r="H11" s="28" t="s">
        <v>844</v>
      </c>
      <c r="I11" s="1"/>
    </row>
    <row r="12">
      <c r="A12" s="27">
        <v>45.0</v>
      </c>
      <c r="B12" s="28" t="s">
        <v>868</v>
      </c>
      <c r="C12" s="28" t="s">
        <v>13</v>
      </c>
      <c r="D12" s="24"/>
      <c r="E12" s="28" t="s">
        <v>610</v>
      </c>
      <c r="F12" s="27">
        <v>2026.0</v>
      </c>
      <c r="G12" s="28" t="s">
        <v>738</v>
      </c>
      <c r="H12" s="28" t="s">
        <v>844</v>
      </c>
      <c r="I12" s="1"/>
    </row>
    <row r="13">
      <c r="A13" s="23">
        <v>46.0</v>
      </c>
      <c r="B13" s="24" t="s">
        <v>869</v>
      </c>
      <c r="C13" s="24" t="s">
        <v>13</v>
      </c>
      <c r="D13" s="24"/>
      <c r="E13" s="24" t="s">
        <v>610</v>
      </c>
      <c r="F13" s="23">
        <v>2026.0</v>
      </c>
      <c r="G13" s="24" t="s">
        <v>870</v>
      </c>
      <c r="H13" s="24" t="s">
        <v>844</v>
      </c>
      <c r="I13" s="1"/>
    </row>
  </sheetData>
  <hyperlinks>
    <hyperlink r:id="rId1" ref="D10"/>
  </hyperlink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>
        <v>29.0</v>
      </c>
      <c r="B1" s="26" t="s">
        <v>826</v>
      </c>
      <c r="C1" s="26" t="s">
        <v>21</v>
      </c>
      <c r="D1" s="24"/>
      <c r="E1" s="26" t="s">
        <v>530</v>
      </c>
      <c r="F1" s="26">
        <v>2026.0</v>
      </c>
      <c r="G1" s="26" t="s">
        <v>828</v>
      </c>
      <c r="H1" s="26" t="s">
        <v>829</v>
      </c>
      <c r="I1" s="29"/>
    </row>
    <row r="2">
      <c r="A2" s="25">
        <v>30.0</v>
      </c>
      <c r="B2" s="26" t="s">
        <v>832</v>
      </c>
      <c r="C2" s="26" t="s">
        <v>13</v>
      </c>
      <c r="D2" s="24"/>
      <c r="E2" s="26" t="s">
        <v>530</v>
      </c>
      <c r="F2" s="26">
        <v>2026.0</v>
      </c>
      <c r="G2" s="26" t="s">
        <v>834</v>
      </c>
      <c r="H2" s="26" t="s">
        <v>829</v>
      </c>
      <c r="I2" s="29"/>
    </row>
    <row r="3">
      <c r="A3" s="25">
        <v>31.0</v>
      </c>
      <c r="B3" s="26" t="s">
        <v>835</v>
      </c>
      <c r="C3" s="26" t="s">
        <v>30</v>
      </c>
      <c r="D3" s="24"/>
      <c r="E3" s="26" t="s">
        <v>837</v>
      </c>
      <c r="F3" s="26">
        <v>2026.0</v>
      </c>
      <c r="G3" s="26" t="s">
        <v>838</v>
      </c>
      <c r="H3" s="26" t="s">
        <v>829</v>
      </c>
      <c r="I3" s="29"/>
    </row>
    <row r="4">
      <c r="A4" s="25">
        <v>32.0</v>
      </c>
      <c r="B4" s="26" t="s">
        <v>840</v>
      </c>
      <c r="C4" s="24"/>
      <c r="D4" s="24"/>
      <c r="E4" s="26" t="s">
        <v>837</v>
      </c>
      <c r="F4" s="26">
        <v>2026.0</v>
      </c>
      <c r="G4" s="26" t="s">
        <v>753</v>
      </c>
      <c r="H4" s="26" t="s">
        <v>829</v>
      </c>
      <c r="I4" s="29"/>
    </row>
    <row r="5">
      <c r="A5" s="25">
        <v>33.0</v>
      </c>
      <c r="B5" s="26" t="s">
        <v>842</v>
      </c>
      <c r="C5" s="26" t="s">
        <v>13</v>
      </c>
      <c r="D5" s="31" t="s">
        <v>845</v>
      </c>
      <c r="E5" s="26" t="s">
        <v>837</v>
      </c>
      <c r="F5" s="26">
        <v>2026.0</v>
      </c>
      <c r="G5" s="26" t="s">
        <v>853</v>
      </c>
      <c r="H5" s="26" t="s">
        <v>829</v>
      </c>
      <c r="I5" s="29"/>
    </row>
    <row r="6">
      <c r="A6" s="25">
        <v>34.0</v>
      </c>
      <c r="B6" s="26" t="s">
        <v>854</v>
      </c>
      <c r="C6" s="26" t="s">
        <v>13</v>
      </c>
      <c r="D6" s="31" t="s">
        <v>855</v>
      </c>
      <c r="E6" s="26" t="s">
        <v>861</v>
      </c>
      <c r="F6" s="26">
        <v>2026.0</v>
      </c>
      <c r="G6" s="26" t="s">
        <v>862</v>
      </c>
      <c r="H6" s="26" t="s">
        <v>829</v>
      </c>
      <c r="I6" s="29"/>
    </row>
  </sheetData>
  <hyperlinks>
    <hyperlink r:id="rId1" ref="D5"/>
    <hyperlink r:id="rId2" ref="D6"/>
  </hyperlinks>
  <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  <c r="H1" s="3" t="s">
        <v>7</v>
      </c>
      <c r="I1" s="1"/>
    </row>
    <row r="2">
      <c r="A2" s="27"/>
      <c r="B2" s="28"/>
      <c r="C2" s="28"/>
      <c r="D2" s="28"/>
      <c r="E2" s="28"/>
      <c r="F2" s="27"/>
      <c r="G2" s="28"/>
      <c r="H2" s="28"/>
    </row>
    <row r="3">
      <c r="A3" s="27">
        <v>24.0</v>
      </c>
      <c r="B3" s="28" t="s">
        <v>846</v>
      </c>
      <c r="C3" s="28" t="s">
        <v>30</v>
      </c>
      <c r="D3" s="32" t="s">
        <v>848</v>
      </c>
      <c r="E3" s="28" t="s">
        <v>675</v>
      </c>
      <c r="F3" s="27">
        <v>2026.0</v>
      </c>
      <c r="G3" s="28" t="s">
        <v>824</v>
      </c>
      <c r="H3" s="28" t="s">
        <v>858</v>
      </c>
    </row>
    <row r="4">
      <c r="A4" s="27">
        <v>25.0</v>
      </c>
      <c r="B4" s="28" t="s">
        <v>859</v>
      </c>
      <c r="C4" s="28" t="s">
        <v>30</v>
      </c>
      <c r="D4" s="24"/>
      <c r="E4" s="28" t="s">
        <v>675</v>
      </c>
      <c r="F4" s="27">
        <v>2026.0</v>
      </c>
      <c r="G4" s="28" t="s">
        <v>834</v>
      </c>
      <c r="H4" s="28" t="s">
        <v>858</v>
      </c>
    </row>
    <row r="5">
      <c r="A5" s="27">
        <v>26.0</v>
      </c>
      <c r="B5" s="28" t="s">
        <v>860</v>
      </c>
      <c r="C5" s="28" t="s">
        <v>13</v>
      </c>
      <c r="D5" s="28"/>
      <c r="E5" s="28" t="s">
        <v>863</v>
      </c>
      <c r="F5" s="27">
        <v>2026.0</v>
      </c>
      <c r="G5" s="28" t="s">
        <v>37</v>
      </c>
      <c r="H5" s="28" t="s">
        <v>858</v>
      </c>
    </row>
    <row r="6">
      <c r="A6" s="27">
        <v>27.0</v>
      </c>
      <c r="B6" s="28" t="s">
        <v>864</v>
      </c>
      <c r="C6" s="28" t="s">
        <v>30</v>
      </c>
      <c r="D6" s="33" t="s">
        <v>865</v>
      </c>
      <c r="E6" s="28" t="s">
        <v>863</v>
      </c>
      <c r="F6" s="27">
        <v>2026.0</v>
      </c>
      <c r="G6" s="28" t="s">
        <v>838</v>
      </c>
      <c r="H6" s="28" t="s">
        <v>858</v>
      </c>
    </row>
    <row r="7">
      <c r="A7" s="23">
        <v>28.0</v>
      </c>
      <c r="B7" s="24" t="s">
        <v>871</v>
      </c>
      <c r="C7" s="24" t="s">
        <v>30</v>
      </c>
      <c r="D7" s="32" t="s">
        <v>872</v>
      </c>
      <c r="E7" s="24" t="s">
        <v>863</v>
      </c>
      <c r="F7" s="23">
        <v>2026.0</v>
      </c>
      <c r="G7" s="24" t="s">
        <v>873</v>
      </c>
      <c r="H7" s="24" t="s">
        <v>858</v>
      </c>
    </row>
  </sheetData>
  <hyperlinks>
    <hyperlink r:id="rId1" ref="D3"/>
    <hyperlink r:id="rId2" ref="D6"/>
    <hyperlink r:id="rId3" ref="D7"/>
  </hyperlinks>
  <drawing r:id="rId4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  <c r="H1" s="3" t="s">
        <v>7</v>
      </c>
      <c r="I1" s="1"/>
    </row>
    <row r="2">
      <c r="A2" s="27">
        <v>2.0</v>
      </c>
      <c r="B2" s="28" t="s">
        <v>874</v>
      </c>
      <c r="C2" s="28"/>
      <c r="D2" s="28"/>
      <c r="E2" s="28" t="s">
        <v>530</v>
      </c>
      <c r="F2" s="27">
        <v>2026.0</v>
      </c>
      <c r="G2" s="28" t="s">
        <v>37</v>
      </c>
      <c r="H2" s="28" t="s">
        <v>875</v>
      </c>
      <c r="I2" s="1"/>
    </row>
    <row r="3">
      <c r="A3" s="27">
        <v>3.0</v>
      </c>
      <c r="B3" s="28" t="s">
        <v>876</v>
      </c>
      <c r="C3" s="28" t="s">
        <v>13</v>
      </c>
      <c r="D3" s="33" t="s">
        <v>877</v>
      </c>
      <c r="E3" s="28" t="s">
        <v>878</v>
      </c>
      <c r="F3" s="27">
        <v>2026.0</v>
      </c>
      <c r="G3" s="28" t="s">
        <v>879</v>
      </c>
      <c r="H3" s="28" t="s">
        <v>875</v>
      </c>
      <c r="I3" s="1"/>
    </row>
    <row r="4">
      <c r="A4" s="27">
        <v>4.0</v>
      </c>
      <c r="B4" s="28" t="s">
        <v>880</v>
      </c>
      <c r="C4" s="28" t="s">
        <v>13</v>
      </c>
      <c r="D4" s="33" t="s">
        <v>881</v>
      </c>
      <c r="E4" s="28" t="s">
        <v>878</v>
      </c>
      <c r="F4" s="27">
        <v>2026.0</v>
      </c>
      <c r="G4" s="28" t="s">
        <v>838</v>
      </c>
      <c r="H4" s="28" t="s">
        <v>875</v>
      </c>
      <c r="I4" s="1"/>
    </row>
    <row r="5">
      <c r="A5" s="27">
        <v>5.0</v>
      </c>
      <c r="B5" s="28" t="s">
        <v>882</v>
      </c>
      <c r="C5" s="24" t="s">
        <v>30</v>
      </c>
      <c r="D5" s="32" t="s">
        <v>883</v>
      </c>
      <c r="E5" s="28" t="s">
        <v>878</v>
      </c>
      <c r="F5" s="27">
        <v>2026.0</v>
      </c>
      <c r="G5" s="28" t="s">
        <v>873</v>
      </c>
      <c r="H5" s="28" t="s">
        <v>875</v>
      </c>
      <c r="I5" s="1"/>
    </row>
    <row r="6">
      <c r="A6" s="27">
        <v>6.0</v>
      </c>
      <c r="B6" s="28" t="s">
        <v>884</v>
      </c>
      <c r="C6" s="28"/>
      <c r="D6" s="28"/>
      <c r="E6" s="28" t="s">
        <v>536</v>
      </c>
      <c r="F6" s="27">
        <v>2026.0</v>
      </c>
      <c r="G6" s="28" t="s">
        <v>843</v>
      </c>
      <c r="H6" s="28" t="s">
        <v>875</v>
      </c>
      <c r="I6" s="1"/>
    </row>
    <row r="7">
      <c r="A7" s="27">
        <v>7.0</v>
      </c>
      <c r="B7" s="28" t="s">
        <v>885</v>
      </c>
      <c r="C7" s="28" t="s">
        <v>30</v>
      </c>
      <c r="D7" s="33" t="s">
        <v>886</v>
      </c>
      <c r="E7" s="28" t="s">
        <v>536</v>
      </c>
      <c r="F7" s="27">
        <v>2026.0</v>
      </c>
      <c r="G7" s="28" t="s">
        <v>838</v>
      </c>
      <c r="H7" s="28" t="s">
        <v>875</v>
      </c>
      <c r="I7" s="1"/>
    </row>
    <row r="8">
      <c r="A8" s="27">
        <v>8.0</v>
      </c>
      <c r="B8" s="28" t="s">
        <v>887</v>
      </c>
      <c r="C8" s="28" t="s">
        <v>30</v>
      </c>
      <c r="D8" s="33" t="s">
        <v>48</v>
      </c>
      <c r="E8" s="28" t="s">
        <v>536</v>
      </c>
      <c r="F8" s="27">
        <v>2026.0</v>
      </c>
      <c r="G8" s="28" t="s">
        <v>888</v>
      </c>
      <c r="H8" s="28" t="s">
        <v>875</v>
      </c>
      <c r="I8" s="1"/>
    </row>
    <row r="9">
      <c r="A9" s="27">
        <v>9.0</v>
      </c>
      <c r="B9" s="28" t="s">
        <v>889</v>
      </c>
      <c r="C9" s="24" t="s">
        <v>30</v>
      </c>
      <c r="D9" s="32" t="s">
        <v>890</v>
      </c>
      <c r="E9" s="28" t="s">
        <v>536</v>
      </c>
      <c r="F9" s="27">
        <v>2026.0</v>
      </c>
      <c r="G9" s="28" t="s">
        <v>37</v>
      </c>
      <c r="H9" s="28" t="s">
        <v>875</v>
      </c>
      <c r="I9" s="1"/>
    </row>
    <row r="10">
      <c r="A10" s="27">
        <v>10.0</v>
      </c>
      <c r="B10" s="28" t="s">
        <v>891</v>
      </c>
      <c r="C10" s="24"/>
      <c r="D10" s="24"/>
      <c r="E10" s="28" t="s">
        <v>539</v>
      </c>
      <c r="F10" s="27">
        <v>2026.0</v>
      </c>
      <c r="G10" s="28" t="s">
        <v>892</v>
      </c>
      <c r="H10" s="28" t="s">
        <v>875</v>
      </c>
      <c r="I10" s="1"/>
    </row>
    <row r="11">
      <c r="A11" s="27">
        <v>11.0</v>
      </c>
      <c r="B11" s="28" t="s">
        <v>893</v>
      </c>
      <c r="C11" s="28"/>
      <c r="D11" s="28"/>
      <c r="E11" s="28" t="s">
        <v>539</v>
      </c>
      <c r="F11" s="27">
        <v>2026.0</v>
      </c>
      <c r="G11" s="28" t="s">
        <v>758</v>
      </c>
      <c r="H11" s="28" t="s">
        <v>875</v>
      </c>
      <c r="I11" s="1"/>
    </row>
    <row r="12">
      <c r="A12" s="27">
        <v>12.0</v>
      </c>
      <c r="B12" s="28" t="s">
        <v>894</v>
      </c>
      <c r="C12" s="28" t="s">
        <v>13</v>
      </c>
      <c r="D12" s="32" t="s">
        <v>895</v>
      </c>
      <c r="E12" s="28" t="s">
        <v>536</v>
      </c>
      <c r="F12" s="27">
        <v>2026.0</v>
      </c>
      <c r="G12" s="28" t="s">
        <v>37</v>
      </c>
      <c r="H12" s="28" t="s">
        <v>875</v>
      </c>
      <c r="I12" s="1"/>
    </row>
    <row r="13">
      <c r="A13" s="27">
        <v>13.0</v>
      </c>
      <c r="B13" s="28" t="s">
        <v>896</v>
      </c>
      <c r="C13" s="28" t="s">
        <v>13</v>
      </c>
      <c r="D13" s="28"/>
      <c r="E13" s="28" t="s">
        <v>536</v>
      </c>
      <c r="F13" s="27">
        <v>2026.0</v>
      </c>
      <c r="G13" s="28" t="s">
        <v>738</v>
      </c>
      <c r="H13" s="28" t="s">
        <v>875</v>
      </c>
      <c r="I13" s="1"/>
    </row>
    <row r="14">
      <c r="A14" s="27">
        <v>14.0</v>
      </c>
      <c r="B14" s="28" t="s">
        <v>897</v>
      </c>
      <c r="C14" s="28" t="s">
        <v>13</v>
      </c>
      <c r="D14" s="32" t="s">
        <v>898</v>
      </c>
      <c r="E14" s="28" t="s">
        <v>539</v>
      </c>
      <c r="F14" s="27">
        <v>2026.0</v>
      </c>
      <c r="G14" s="28" t="s">
        <v>899</v>
      </c>
      <c r="H14" s="28" t="s">
        <v>875</v>
      </c>
      <c r="I14" s="1"/>
    </row>
    <row r="15">
      <c r="A15" s="27">
        <v>15.0</v>
      </c>
      <c r="B15" s="28" t="s">
        <v>900</v>
      </c>
      <c r="C15" s="28" t="s">
        <v>13</v>
      </c>
      <c r="D15" s="24"/>
      <c r="E15" s="28" t="s">
        <v>530</v>
      </c>
      <c r="F15" s="27">
        <v>2026.0</v>
      </c>
      <c r="G15" s="28" t="s">
        <v>824</v>
      </c>
      <c r="H15" s="28" t="s">
        <v>875</v>
      </c>
      <c r="I15" s="1"/>
    </row>
    <row r="16">
      <c r="A16" s="27">
        <v>16.0</v>
      </c>
      <c r="B16" s="28" t="s">
        <v>901</v>
      </c>
      <c r="C16" s="28" t="s">
        <v>21</v>
      </c>
      <c r="D16" s="24"/>
      <c r="E16" s="28" t="s">
        <v>530</v>
      </c>
      <c r="F16" s="27">
        <v>2026.0</v>
      </c>
      <c r="G16" s="28" t="s">
        <v>902</v>
      </c>
      <c r="H16" s="28" t="s">
        <v>875</v>
      </c>
      <c r="I16" s="1"/>
    </row>
    <row r="17">
      <c r="A17" s="27">
        <v>17.0</v>
      </c>
      <c r="B17" s="28" t="s">
        <v>903</v>
      </c>
      <c r="C17" s="24" t="s">
        <v>13</v>
      </c>
      <c r="D17" s="24"/>
      <c r="E17" s="28" t="s">
        <v>536</v>
      </c>
      <c r="F17" s="27">
        <v>2026.0</v>
      </c>
      <c r="G17" s="28" t="s">
        <v>37</v>
      </c>
      <c r="H17" s="28" t="s">
        <v>875</v>
      </c>
      <c r="I17" s="1"/>
    </row>
    <row r="18">
      <c r="A18" s="27">
        <v>18.0</v>
      </c>
      <c r="B18" s="28" t="s">
        <v>904</v>
      </c>
      <c r="C18" s="24"/>
      <c r="D18" s="24"/>
      <c r="E18" s="28" t="s">
        <v>536</v>
      </c>
      <c r="F18" s="27">
        <v>2026.0</v>
      </c>
      <c r="G18" s="28" t="s">
        <v>905</v>
      </c>
      <c r="H18" s="28" t="s">
        <v>875</v>
      </c>
      <c r="I18" s="1"/>
    </row>
    <row r="19">
      <c r="A19" s="27">
        <v>19.0</v>
      </c>
      <c r="B19" s="28" t="s">
        <v>906</v>
      </c>
      <c r="C19" s="28"/>
      <c r="D19" s="28"/>
      <c r="E19" s="28" t="s">
        <v>536</v>
      </c>
      <c r="F19" s="27">
        <v>2026.0</v>
      </c>
      <c r="G19" s="28" t="s">
        <v>905</v>
      </c>
      <c r="H19" s="28" t="s">
        <v>875</v>
      </c>
      <c r="I19" s="1"/>
    </row>
    <row r="20">
      <c r="A20" s="27">
        <v>20.0</v>
      </c>
      <c r="B20" s="28" t="s">
        <v>907</v>
      </c>
      <c r="C20" s="28" t="s">
        <v>30</v>
      </c>
      <c r="D20" s="33" t="s">
        <v>890</v>
      </c>
      <c r="E20" s="28" t="s">
        <v>539</v>
      </c>
      <c r="F20" s="27">
        <v>2026.0</v>
      </c>
      <c r="G20" s="28" t="s">
        <v>37</v>
      </c>
      <c r="H20" s="28" t="s">
        <v>875</v>
      </c>
      <c r="I20" s="1"/>
    </row>
    <row r="21">
      <c r="A21" s="27">
        <v>21.0</v>
      </c>
      <c r="B21" s="28" t="s">
        <v>908</v>
      </c>
      <c r="C21" s="24" t="s">
        <v>13</v>
      </c>
      <c r="D21" s="32" t="s">
        <v>909</v>
      </c>
      <c r="E21" s="28" t="s">
        <v>539</v>
      </c>
      <c r="F21" s="27">
        <v>2026.0</v>
      </c>
      <c r="G21" s="28" t="s">
        <v>37</v>
      </c>
      <c r="H21" s="28" t="s">
        <v>875</v>
      </c>
      <c r="I21" s="1"/>
    </row>
    <row r="22">
      <c r="A22" s="23">
        <v>22.0</v>
      </c>
      <c r="B22" s="24" t="s">
        <v>910</v>
      </c>
      <c r="C22" s="24"/>
      <c r="D22" s="24"/>
      <c r="E22" s="24" t="s">
        <v>539</v>
      </c>
      <c r="F22" s="23">
        <v>2026.0</v>
      </c>
      <c r="G22" s="24" t="s">
        <v>892</v>
      </c>
      <c r="H22" s="24" t="s">
        <v>875</v>
      </c>
      <c r="I22" s="1"/>
    </row>
  </sheetData>
  <hyperlinks>
    <hyperlink r:id="rId1" ref="D3"/>
    <hyperlink r:id="rId2" ref="D4"/>
    <hyperlink r:id="rId3" ref="D5"/>
    <hyperlink r:id="rId4" ref="D7"/>
    <hyperlink r:id="rId5" ref="D8"/>
    <hyperlink r:id="rId6" ref="D9"/>
    <hyperlink r:id="rId7" ref="D12"/>
    <hyperlink r:id="rId8" ref="D14"/>
    <hyperlink r:id="rId9" ref="D20"/>
    <hyperlink r:id="rId10" ref="D21"/>
  </hyperlinks>
  <drawing r:id="rId1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721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911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</v>
      </c>
      <c r="B1" s="4" t="s">
        <v>912</v>
      </c>
      <c r="C1" s="4" t="s">
        <v>913</v>
      </c>
      <c r="D1" s="4" t="s">
        <v>8</v>
      </c>
    </row>
    <row r="2">
      <c r="A2" s="34" t="s">
        <v>914</v>
      </c>
      <c r="B2" s="4" t="s">
        <v>30</v>
      </c>
      <c r="C2" s="4" t="s">
        <v>27</v>
      </c>
      <c r="D2" s="4">
        <v>2026.0</v>
      </c>
    </row>
    <row r="3">
      <c r="A3" s="34" t="s">
        <v>915</v>
      </c>
      <c r="B3" s="4" t="s">
        <v>30</v>
      </c>
      <c r="C3" s="4" t="s">
        <v>27</v>
      </c>
      <c r="D3" s="4">
        <v>2026.0</v>
      </c>
    </row>
    <row r="4">
      <c r="A4" s="34" t="s">
        <v>916</v>
      </c>
      <c r="B4" s="4" t="s">
        <v>13</v>
      </c>
      <c r="C4" s="4" t="s">
        <v>27</v>
      </c>
      <c r="D4" s="4">
        <v>2026.0</v>
      </c>
    </row>
    <row r="5">
      <c r="A5" s="34" t="s">
        <v>917</v>
      </c>
      <c r="B5" s="4" t="s">
        <v>13</v>
      </c>
      <c r="C5" s="4" t="s">
        <v>919</v>
      </c>
      <c r="D5" s="4">
        <v>2026.0</v>
      </c>
    </row>
  </sheetData>
  <hyperlinks>
    <hyperlink r:id="rId1" ref="A2"/>
    <hyperlink r:id="rId2" ref="A3"/>
    <hyperlink r:id="rId3" ref="A4"/>
    <hyperlink r:id="rId4" ref="A5"/>
  </hyperlinks>
  <drawing r:id="rId5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</v>
      </c>
      <c r="B1" s="4" t="s">
        <v>912</v>
      </c>
      <c r="C1" s="4" t="s">
        <v>913</v>
      </c>
      <c r="D1" s="4" t="s">
        <v>8</v>
      </c>
    </row>
    <row r="2">
      <c r="A2" s="10" t="s">
        <v>918</v>
      </c>
      <c r="B2" s="4" t="s">
        <v>30</v>
      </c>
      <c r="C2" s="4" t="s">
        <v>14</v>
      </c>
      <c r="D2" s="4">
        <v>2024.0</v>
      </c>
    </row>
    <row r="3">
      <c r="A3" s="10" t="s">
        <v>920</v>
      </c>
      <c r="B3" s="4" t="s">
        <v>13</v>
      </c>
      <c r="C3" s="4" t="s">
        <v>14</v>
      </c>
      <c r="D3" s="4">
        <v>2024.0</v>
      </c>
    </row>
    <row r="4">
      <c r="A4" s="10" t="s">
        <v>921</v>
      </c>
      <c r="B4" s="4" t="s">
        <v>13</v>
      </c>
      <c r="C4" s="4" t="s">
        <v>14</v>
      </c>
      <c r="D4" s="4">
        <v>2024.0</v>
      </c>
    </row>
    <row r="5">
      <c r="A5" s="10" t="s">
        <v>923</v>
      </c>
      <c r="B5" s="4" t="s">
        <v>13</v>
      </c>
      <c r="C5" s="4" t="s">
        <v>27</v>
      </c>
      <c r="D5" s="4">
        <v>2024.0</v>
      </c>
    </row>
    <row r="6">
      <c r="A6" s="10" t="s">
        <v>925</v>
      </c>
      <c r="B6" s="4" t="s">
        <v>13</v>
      </c>
      <c r="C6" s="4" t="s">
        <v>14</v>
      </c>
      <c r="D6" s="4">
        <v>2025.0</v>
      </c>
    </row>
    <row r="7">
      <c r="A7" s="10" t="s">
        <v>928</v>
      </c>
      <c r="B7" s="4" t="s">
        <v>30</v>
      </c>
      <c r="C7" s="4" t="s">
        <v>27</v>
      </c>
      <c r="D7" s="4">
        <v>2025.0</v>
      </c>
    </row>
    <row r="8">
      <c r="A8" s="10" t="s">
        <v>931</v>
      </c>
      <c r="B8" s="4" t="s">
        <v>30</v>
      </c>
      <c r="C8" s="4" t="s">
        <v>27</v>
      </c>
      <c r="D8" s="4">
        <v>2025.0</v>
      </c>
    </row>
    <row r="9">
      <c r="A9" s="10" t="s">
        <v>934</v>
      </c>
      <c r="B9" s="4" t="s">
        <v>21</v>
      </c>
      <c r="C9" s="4" t="s">
        <v>27</v>
      </c>
      <c r="D9" s="4">
        <v>2025.0</v>
      </c>
    </row>
    <row r="10" ht="18.0" customHeight="1">
      <c r="A10" s="35" t="s">
        <v>936</v>
      </c>
      <c r="B10" s="4" t="s">
        <v>13</v>
      </c>
      <c r="C10" s="4" t="s">
        <v>27</v>
      </c>
      <c r="D10" s="4">
        <v>2025.0</v>
      </c>
    </row>
    <row r="11" ht="17.25" customHeight="1">
      <c r="A11" s="35" t="s">
        <v>938</v>
      </c>
      <c r="B11" s="4" t="s">
        <v>30</v>
      </c>
      <c r="C11" s="4" t="s">
        <v>27</v>
      </c>
      <c r="D11" s="4">
        <v>2025.0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</hyperlinks>
  <drawing r:id="rId1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</v>
      </c>
      <c r="B1" s="4" t="s">
        <v>912</v>
      </c>
      <c r="C1" s="4" t="s">
        <v>913</v>
      </c>
      <c r="D1" s="4" t="s">
        <v>8</v>
      </c>
    </row>
    <row r="2">
      <c r="A2" s="10" t="s">
        <v>922</v>
      </c>
      <c r="B2" s="4" t="s">
        <v>21</v>
      </c>
      <c r="C2" s="4" t="s">
        <v>14</v>
      </c>
      <c r="D2" s="4">
        <v>2021.0</v>
      </c>
    </row>
    <row r="3">
      <c r="A3" s="10" t="s">
        <v>924</v>
      </c>
      <c r="B3" s="4" t="s">
        <v>30</v>
      </c>
      <c r="C3" s="4" t="s">
        <v>27</v>
      </c>
      <c r="D3" s="4">
        <v>2023.0</v>
      </c>
    </row>
    <row r="4">
      <c r="A4" s="10" t="s">
        <v>926</v>
      </c>
      <c r="B4" s="4" t="s">
        <v>30</v>
      </c>
      <c r="C4" s="4" t="s">
        <v>27</v>
      </c>
      <c r="D4" s="4">
        <v>2023.0</v>
      </c>
    </row>
    <row r="5">
      <c r="A5" s="10" t="s">
        <v>927</v>
      </c>
      <c r="B5" s="4" t="s">
        <v>13</v>
      </c>
      <c r="C5" s="4" t="s">
        <v>27</v>
      </c>
      <c r="D5" s="4">
        <v>2026.0</v>
      </c>
    </row>
    <row r="6">
      <c r="A6" s="10" t="s">
        <v>929</v>
      </c>
      <c r="B6" s="4" t="s">
        <v>13</v>
      </c>
      <c r="C6" s="4" t="s">
        <v>27</v>
      </c>
      <c r="D6" s="4">
        <v>2026.0</v>
      </c>
    </row>
    <row r="7">
      <c r="A7" s="10" t="s">
        <v>930</v>
      </c>
      <c r="B7" s="4" t="s">
        <v>13</v>
      </c>
      <c r="C7" s="4" t="s">
        <v>27</v>
      </c>
      <c r="D7" s="4">
        <v>2026.0</v>
      </c>
    </row>
    <row r="8">
      <c r="A8" s="10" t="s">
        <v>932</v>
      </c>
      <c r="B8" s="4" t="s">
        <v>13</v>
      </c>
      <c r="C8" s="4" t="s">
        <v>27</v>
      </c>
      <c r="D8" s="4">
        <v>2026.0</v>
      </c>
    </row>
    <row r="9">
      <c r="A9" s="10" t="s">
        <v>933</v>
      </c>
      <c r="B9" s="4" t="s">
        <v>30</v>
      </c>
      <c r="C9" s="4" t="s">
        <v>27</v>
      </c>
      <c r="D9" s="4">
        <v>2026.0</v>
      </c>
    </row>
    <row r="10">
      <c r="A10" s="10" t="s">
        <v>935</v>
      </c>
      <c r="B10" s="4" t="s">
        <v>13</v>
      </c>
      <c r="C10" s="4" t="s">
        <v>27</v>
      </c>
      <c r="D10" s="4">
        <v>2026.0</v>
      </c>
    </row>
    <row r="11" ht="18.75" customHeight="1">
      <c r="A11" s="10" t="s">
        <v>937</v>
      </c>
      <c r="B11" s="4" t="s">
        <v>13</v>
      </c>
      <c r="C11" s="4" t="s">
        <v>27</v>
      </c>
      <c r="D11" s="4">
        <v>2026.0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</hyperlinks>
  <drawing r:id="rId1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911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</v>
      </c>
      <c r="B1" s="4" t="s">
        <v>912</v>
      </c>
      <c r="C1" s="4" t="s">
        <v>913</v>
      </c>
      <c r="D1" s="4" t="s">
        <v>8</v>
      </c>
    </row>
    <row r="2">
      <c r="A2" s="10" t="s">
        <v>939</v>
      </c>
      <c r="B2" s="4" t="s">
        <v>13</v>
      </c>
      <c r="C2" s="4" t="s">
        <v>14</v>
      </c>
      <c r="D2" s="4">
        <v>2024.0</v>
      </c>
    </row>
    <row r="3">
      <c r="A3" s="10" t="s">
        <v>933</v>
      </c>
      <c r="B3" s="4" t="s">
        <v>30</v>
      </c>
      <c r="C3" s="4" t="s">
        <v>27</v>
      </c>
      <c r="D3" s="4">
        <v>2024.0</v>
      </c>
    </row>
    <row r="4">
      <c r="A4" s="10" t="s">
        <v>940</v>
      </c>
      <c r="B4" s="4" t="s">
        <v>21</v>
      </c>
      <c r="C4" s="4" t="s">
        <v>14</v>
      </c>
      <c r="D4" s="4">
        <v>2024.0</v>
      </c>
    </row>
  </sheetData>
  <hyperlinks>
    <hyperlink r:id="rId1" ref="A2"/>
    <hyperlink r:id="rId2" ref="A3"/>
    <hyperlink r:id="rId3" ref="A4"/>
  </hyperlinks>
  <drawing r:id="rId4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911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911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</v>
      </c>
      <c r="B1" s="4" t="s">
        <v>912</v>
      </c>
      <c r="C1" s="4" t="s">
        <v>913</v>
      </c>
      <c r="D1" s="4" t="s">
        <v>8</v>
      </c>
    </row>
    <row r="2">
      <c r="A2" s="10" t="s">
        <v>941</v>
      </c>
      <c r="B2" s="4" t="s">
        <v>13</v>
      </c>
      <c r="C2" s="4" t="s">
        <v>14</v>
      </c>
      <c r="D2" s="4">
        <v>2021.0</v>
      </c>
    </row>
    <row r="3">
      <c r="A3" s="10" t="s">
        <v>942</v>
      </c>
      <c r="B3" s="4" t="s">
        <v>13</v>
      </c>
      <c r="C3" s="4" t="s">
        <v>27</v>
      </c>
      <c r="D3" s="4">
        <v>2021.0</v>
      </c>
    </row>
    <row r="4">
      <c r="A4" s="10" t="s">
        <v>943</v>
      </c>
      <c r="B4" s="4" t="s">
        <v>13</v>
      </c>
      <c r="C4" s="4" t="s">
        <v>27</v>
      </c>
      <c r="D4" s="4">
        <v>2021.0</v>
      </c>
    </row>
    <row r="5">
      <c r="A5" s="10" t="s">
        <v>944</v>
      </c>
      <c r="B5" s="4" t="s">
        <v>13</v>
      </c>
      <c r="C5" s="4" t="s">
        <v>27</v>
      </c>
      <c r="D5" s="4">
        <v>2023.0</v>
      </c>
    </row>
    <row r="6">
      <c r="A6" s="10" t="s">
        <v>945</v>
      </c>
      <c r="B6" s="4" t="s">
        <v>30</v>
      </c>
      <c r="C6" s="4" t="s">
        <v>27</v>
      </c>
      <c r="D6" s="4">
        <v>2023.0</v>
      </c>
    </row>
    <row r="7">
      <c r="A7" s="10" t="s">
        <v>946</v>
      </c>
      <c r="B7" s="4" t="s">
        <v>13</v>
      </c>
      <c r="C7" s="4" t="s">
        <v>27</v>
      </c>
      <c r="D7" s="4">
        <v>2026.0</v>
      </c>
    </row>
    <row r="8">
      <c r="A8" s="10" t="s">
        <v>949</v>
      </c>
      <c r="B8" s="4" t="s">
        <v>13</v>
      </c>
      <c r="C8" s="4" t="s">
        <v>27</v>
      </c>
      <c r="D8" s="4">
        <v>2026.0</v>
      </c>
    </row>
    <row r="9">
      <c r="A9" s="10" t="s">
        <v>950</v>
      </c>
      <c r="B9" s="4" t="s">
        <v>13</v>
      </c>
      <c r="C9" s="4" t="s">
        <v>27</v>
      </c>
      <c r="D9" s="4">
        <v>2026.0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911</v>
      </c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</v>
      </c>
      <c r="B1" s="4" t="s">
        <v>912</v>
      </c>
      <c r="C1" s="4" t="s">
        <v>913</v>
      </c>
      <c r="D1" s="4" t="s">
        <v>8</v>
      </c>
    </row>
    <row r="2">
      <c r="A2" s="10" t="s">
        <v>947</v>
      </c>
      <c r="B2" s="4" t="s">
        <v>21</v>
      </c>
      <c r="C2" s="4" t="s">
        <v>27</v>
      </c>
      <c r="D2" s="4">
        <v>2026.0</v>
      </c>
    </row>
    <row r="3">
      <c r="A3" s="10" t="s">
        <v>952</v>
      </c>
      <c r="B3" s="4" t="s">
        <v>30</v>
      </c>
      <c r="C3" s="4" t="s">
        <v>27</v>
      </c>
      <c r="D3" s="4">
        <v>2026.0</v>
      </c>
    </row>
    <row r="4">
      <c r="A4" s="10" t="s">
        <v>226</v>
      </c>
      <c r="B4" s="4" t="s">
        <v>13</v>
      </c>
      <c r="C4" s="4" t="s">
        <v>27</v>
      </c>
      <c r="D4" s="4">
        <v>2026.0</v>
      </c>
    </row>
  </sheetData>
  <hyperlinks>
    <hyperlink r:id="rId1" ref="A2"/>
    <hyperlink r:id="rId2" ref="A3"/>
    <hyperlink r:id="rId3" ref="A4"/>
  </hyperlinks>
  <drawing r:id="rId4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</v>
      </c>
      <c r="B1" s="4" t="s">
        <v>912</v>
      </c>
      <c r="C1" s="4" t="s">
        <v>913</v>
      </c>
      <c r="D1" s="4" t="s">
        <v>8</v>
      </c>
    </row>
    <row r="2">
      <c r="A2" s="10" t="s">
        <v>948</v>
      </c>
      <c r="B2" s="4" t="s">
        <v>13</v>
      </c>
      <c r="C2" s="4" t="s">
        <v>27</v>
      </c>
      <c r="D2" s="4">
        <v>2026.0</v>
      </c>
    </row>
    <row r="3">
      <c r="A3" s="10" t="s">
        <v>951</v>
      </c>
      <c r="B3" s="4" t="s">
        <v>30</v>
      </c>
      <c r="C3" s="4" t="s">
        <v>27</v>
      </c>
      <c r="D3" s="4">
        <v>2026.0</v>
      </c>
    </row>
    <row r="4">
      <c r="A4" s="10" t="s">
        <v>953</v>
      </c>
      <c r="B4" s="4" t="s">
        <v>30</v>
      </c>
      <c r="C4" s="4" t="s">
        <v>14</v>
      </c>
      <c r="D4" s="4">
        <v>2026.0</v>
      </c>
    </row>
    <row r="5">
      <c r="A5" s="10" t="s">
        <v>954</v>
      </c>
      <c r="B5" s="4" t="s">
        <v>13</v>
      </c>
      <c r="C5" s="4" t="s">
        <v>27</v>
      </c>
      <c r="D5" s="4">
        <v>2026.0</v>
      </c>
    </row>
    <row r="6">
      <c r="A6" s="10" t="s">
        <v>955</v>
      </c>
      <c r="B6" s="4" t="s">
        <v>30</v>
      </c>
      <c r="C6" s="4" t="s">
        <v>27</v>
      </c>
      <c r="D6" s="4">
        <v>2026.0</v>
      </c>
    </row>
    <row r="7">
      <c r="A7" s="10" t="s">
        <v>956</v>
      </c>
      <c r="B7" s="4" t="s">
        <v>13</v>
      </c>
      <c r="C7" s="4" t="s">
        <v>27</v>
      </c>
      <c r="D7" s="4">
        <v>2026.0</v>
      </c>
    </row>
    <row r="8">
      <c r="A8" s="10" t="s">
        <v>957</v>
      </c>
      <c r="B8" s="4" t="s">
        <v>30</v>
      </c>
      <c r="C8" s="4" t="s">
        <v>27</v>
      </c>
      <c r="D8" s="4">
        <v>2026.0</v>
      </c>
    </row>
    <row r="9">
      <c r="A9" s="10" t="s">
        <v>958</v>
      </c>
      <c r="B9" s="4" t="s">
        <v>30</v>
      </c>
      <c r="C9" s="4" t="s">
        <v>27</v>
      </c>
      <c r="D9" s="4">
        <v>2027.0</v>
      </c>
    </row>
    <row r="10">
      <c r="A10" s="10" t="s">
        <v>959</v>
      </c>
      <c r="B10" s="4" t="s">
        <v>30</v>
      </c>
      <c r="C10" s="4" t="s">
        <v>27</v>
      </c>
      <c r="D10" s="4">
        <v>2027.0</v>
      </c>
    </row>
    <row r="11">
      <c r="A11" s="10" t="s">
        <v>960</v>
      </c>
      <c r="B11" s="4" t="s">
        <v>30</v>
      </c>
      <c r="C11" s="4" t="s">
        <v>27</v>
      </c>
      <c r="D11" s="4">
        <v>2027.0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</hyperlinks>
  <drawing r:id="rId1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 ht="24.0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6</v>
      </c>
      <c r="G1" s="36" t="s">
        <v>526</v>
      </c>
    </row>
    <row r="2" ht="31.5" customHeight="1">
      <c r="A2" s="22">
        <v>1.0</v>
      </c>
      <c r="B2" s="22" t="s">
        <v>961</v>
      </c>
      <c r="C2" s="22" t="s">
        <v>13</v>
      </c>
      <c r="D2" s="37" t="str">
        <f>HYPERLINK("https://www.geeksforgeeks.org/dbms/indexing-in-databases-set-1/","https://www.geeksforgeeks.org/dbms/indexing-in-databases-set-1/")</f>
        <v>https://www.geeksforgeeks.org/dbms/indexing-in-databases-set-1/</v>
      </c>
      <c r="E2" s="22" t="s">
        <v>559</v>
      </c>
      <c r="F2" s="38">
        <v>2021.0</v>
      </c>
      <c r="G2" s="39"/>
    </row>
    <row r="3" ht="31.5" customHeight="1">
      <c r="A3" s="22">
        <v>2.0</v>
      </c>
      <c r="B3" s="22" t="s">
        <v>962</v>
      </c>
      <c r="C3" s="22" t="s">
        <v>30</v>
      </c>
      <c r="D3" s="37" t="str">
        <f t="shared" ref="D3:D4" si="1">HYPERLINK("https://www.geeksforgeeks.org/dsa/what-is-data-structure-types-classifications-and-applications/","https://www.geeksforgeeks.org/dsa/what-is-data-structure-types-classifications-and-applications/")</f>
        <v>https://www.geeksforgeeks.org/dsa/what-is-data-structure-types-classifications-and-applications/</v>
      </c>
      <c r="E3" s="22" t="s">
        <v>559</v>
      </c>
      <c r="F3" s="38">
        <v>2021.0</v>
      </c>
      <c r="G3" s="39"/>
    </row>
    <row r="4" ht="31.5" customHeight="1">
      <c r="A4" s="22">
        <v>3.0</v>
      </c>
      <c r="B4" s="22" t="s">
        <v>964</v>
      </c>
      <c r="C4" s="22" t="s">
        <v>30</v>
      </c>
      <c r="D4" s="37" t="str">
        <f t="shared" si="1"/>
        <v>https://www.geeksforgeeks.org/dsa/what-is-data-structure-types-classifications-and-applications/</v>
      </c>
      <c r="E4" s="22" t="s">
        <v>559</v>
      </c>
      <c r="F4" s="38">
        <v>2021.0</v>
      </c>
      <c r="G4" s="39"/>
    </row>
    <row r="5" ht="31.5" customHeight="1">
      <c r="A5" s="22">
        <v>4.0</v>
      </c>
      <c r="B5" s="22" t="s">
        <v>965</v>
      </c>
      <c r="C5" s="22" t="s">
        <v>30</v>
      </c>
      <c r="D5" s="37" t="str">
        <f>HYPERLINK("https://www.geeksforgeeks.org/dbms/introduction-of-database-normalization/","https://www.geeksforgeeks.org/dbms/introduction-of-database-normalization/")</f>
        <v>https://www.geeksforgeeks.org/dbms/introduction-of-database-normalization/</v>
      </c>
      <c r="E5" s="22" t="s">
        <v>559</v>
      </c>
      <c r="F5" s="38">
        <v>2021.0</v>
      </c>
      <c r="G5" s="37" t="str">
        <f>HYPERLINK("https://www.youtube.com/watch?v=ABwD8IYByfk","https://www.youtube.com/watch?v=ABwD8IYByfk")</f>
        <v>https://www.youtube.com/watch?v=ABwD8IYByfk</v>
      </c>
    </row>
    <row r="6" ht="31.5" customHeight="1">
      <c r="A6" s="22">
        <v>5.0</v>
      </c>
      <c r="B6" s="22" t="s">
        <v>969</v>
      </c>
      <c r="C6" s="22" t="s">
        <v>30</v>
      </c>
      <c r="D6" s="37" t="str">
        <f>HYPERLINK("https://www.geeksforgeeks.org/difference-between-2nf-and-3nf-in-dbms/","https://www.geeksforgeeks.org/difference-between-2nf-and-3nf-in-dbms/")</f>
        <v>https://www.geeksforgeeks.org/difference-between-2nf-and-3nf-in-dbms/</v>
      </c>
      <c r="E6" s="22" t="s">
        <v>559</v>
      </c>
      <c r="F6" s="38">
        <v>2021.0</v>
      </c>
      <c r="G6" s="37" t="str">
        <f>HYPERLINK("https://www.youtube.com/watch?v=S8OLxkqprjI","https://www.youtube.com/watch?v=S8OLxkqprjI")</f>
        <v>https://www.youtube.com/watch?v=S8OLxkqprjI</v>
      </c>
    </row>
    <row r="7" ht="31.5" customHeight="1">
      <c r="A7" s="22">
        <v>6.0</v>
      </c>
      <c r="B7" s="22" t="s">
        <v>972</v>
      </c>
      <c r="C7" s="22" t="s">
        <v>30</v>
      </c>
      <c r="D7" s="39"/>
      <c r="E7" s="22" t="s">
        <v>14</v>
      </c>
      <c r="F7" s="38">
        <v>2025.0</v>
      </c>
      <c r="G7" s="39"/>
    </row>
    <row r="8" ht="31.5" customHeight="1">
      <c r="A8" s="22">
        <v>7.0</v>
      </c>
      <c r="B8" s="22" t="s">
        <v>974</v>
      </c>
      <c r="C8" s="22" t="s">
        <v>30</v>
      </c>
      <c r="D8" s="37" t="str">
        <f>HYPERLINK("https://www.geeksforgeeks.org/dsa/row-wise-sorting-2d-array/","https://www.geeksforgeeks.org/dsa/row-wise-sorting-2d-array/")</f>
        <v>https://www.geeksforgeeks.org/dsa/row-wise-sorting-2d-array/</v>
      </c>
      <c r="E8" s="22" t="s">
        <v>14</v>
      </c>
      <c r="F8" s="38">
        <v>2025.0</v>
      </c>
      <c r="G8" s="39"/>
    </row>
    <row r="9" ht="31.5" customHeight="1">
      <c r="A9" s="22">
        <v>8.0</v>
      </c>
      <c r="B9" s="22" t="s">
        <v>977</v>
      </c>
      <c r="C9" s="22" t="s">
        <v>30</v>
      </c>
      <c r="D9" s="39"/>
      <c r="E9" s="22" t="s">
        <v>14</v>
      </c>
      <c r="F9" s="38">
        <v>2025.0</v>
      </c>
      <c r="G9" s="39"/>
    </row>
    <row r="10" ht="31.5" customHeight="1">
      <c r="A10" s="22">
        <v>9.0</v>
      </c>
      <c r="B10" s="22" t="s">
        <v>979</v>
      </c>
      <c r="C10" s="22" t="s">
        <v>30</v>
      </c>
      <c r="D10" s="37" t="str">
        <f>HYPERLINK("https://www.geeksforgeeks.org/minimize-jumps-to-reach-x-by-jumping-k-positions-or-1-position/","https://www.geeksforgeeks.org/minimize-jumps-to-reach-x-by-jumping-k-positions-or-1-position/")</f>
        <v>https://www.geeksforgeeks.org/minimize-jumps-to-reach-x-by-jumping-k-positions-or-1-position/</v>
      </c>
      <c r="E10" s="22" t="s">
        <v>14</v>
      </c>
      <c r="F10" s="38">
        <v>2026.0</v>
      </c>
      <c r="G10" s="37" t="str">
        <f>HYPERLINK("https://www.youtube.com/watch?v=Zobz9BXpwYE","https://www.youtube.com/watch?v=Zobz9BXpwYE")</f>
        <v>https://www.youtube.com/watch?v=Zobz9BXpwYE</v>
      </c>
    </row>
    <row r="11" ht="31.5" customHeight="1">
      <c r="A11" s="22">
        <v>10.0</v>
      </c>
      <c r="B11" s="22" t="s">
        <v>984</v>
      </c>
      <c r="C11" s="22" t="s">
        <v>21</v>
      </c>
      <c r="D11" s="39"/>
      <c r="E11" s="22" t="s">
        <v>14</v>
      </c>
      <c r="F11" s="38">
        <v>2026.0</v>
      </c>
      <c r="G11" s="39"/>
    </row>
    <row r="12" ht="31.5" customHeight="1">
      <c r="A12" s="22">
        <v>11.0</v>
      </c>
      <c r="B12" s="22" t="s">
        <v>987</v>
      </c>
      <c r="C12" s="22" t="s">
        <v>21</v>
      </c>
      <c r="D12" s="39"/>
      <c r="E12" s="22" t="s">
        <v>988</v>
      </c>
      <c r="F12" s="38">
        <v>2026.0</v>
      </c>
      <c r="G12" s="39"/>
    </row>
    <row r="13" ht="31.5" customHeight="1">
      <c r="A13" s="22">
        <v>12.0</v>
      </c>
      <c r="B13" s="22" t="s">
        <v>989</v>
      </c>
      <c r="C13" s="22" t="s">
        <v>21</v>
      </c>
      <c r="D13" s="39"/>
      <c r="E13" s="22" t="s">
        <v>988</v>
      </c>
      <c r="F13" s="38">
        <v>2026.0</v>
      </c>
      <c r="G13" s="39"/>
    </row>
    <row r="14" ht="31.5" customHeight="1">
      <c r="A14" s="22">
        <v>13.0</v>
      </c>
      <c r="B14" s="22" t="s">
        <v>990</v>
      </c>
      <c r="C14" s="22" t="s">
        <v>21</v>
      </c>
      <c r="D14" s="39"/>
      <c r="E14" s="22" t="s">
        <v>988</v>
      </c>
      <c r="F14" s="38">
        <v>2026.0</v>
      </c>
      <c r="G14" s="39"/>
    </row>
    <row r="15" ht="31.5" customHeight="1">
      <c r="A15" s="22">
        <v>14.0</v>
      </c>
      <c r="B15" s="22" t="s">
        <v>993</v>
      </c>
      <c r="C15" s="22" t="s">
        <v>21</v>
      </c>
      <c r="D15" s="39"/>
      <c r="E15" s="22" t="s">
        <v>988</v>
      </c>
      <c r="F15" s="38">
        <v>2026.0</v>
      </c>
      <c r="G15" s="39"/>
    </row>
    <row r="16" ht="31.5" customHeight="1">
      <c r="A16" s="22">
        <v>15.0</v>
      </c>
      <c r="B16" s="22" t="s">
        <v>994</v>
      </c>
      <c r="C16" s="22" t="s">
        <v>30</v>
      </c>
      <c r="D16" s="37" t="str">
        <f>HYPERLINK("https://www.geeksforgeeks.org/dsa/check-if-the-sum-of-digits-of-a-number-is-prime/","https://www.geeksforgeeks.org/dsa/check-if-the-sum-of-digits-of-a-number-is-prime/")</f>
        <v>https://www.geeksforgeeks.org/dsa/check-if-the-sum-of-digits-of-a-number-is-prime/</v>
      </c>
      <c r="E16" s="22" t="s">
        <v>14</v>
      </c>
      <c r="F16" s="38">
        <v>2026.0</v>
      </c>
      <c r="G16" s="37" t="str">
        <f>HYPERLINK("https://www.youtube.com/watch?v=MJcckSfoYdI","https://www.youtube.com/watch?v=MJcckSfoYdI")</f>
        <v>https://www.youtube.com/watch?v=MJcckSfoYdI</v>
      </c>
    </row>
    <row r="17" ht="31.5" customHeight="1">
      <c r="A17" s="22">
        <v>16.0</v>
      </c>
      <c r="B17" s="22" t="s">
        <v>996</v>
      </c>
      <c r="C17" s="22" t="s">
        <v>13</v>
      </c>
      <c r="D17" s="37" t="str">
        <f>HYPERLINK("https://www.geeksforgeeks.org/dsa/maximize-non-decreasing-array-size-by-replacing-subarray-with-sum/","https://www.geeksforgeeks.org/dsa/maximize-non-decreasing-array-size-by-replacing-subarray-with-sum/")</f>
        <v>https://www.geeksforgeeks.org/dsa/maximize-non-decreasing-array-size-by-replacing-subarray-with-sum/</v>
      </c>
      <c r="E17" s="22" t="s">
        <v>14</v>
      </c>
      <c r="F17" s="38">
        <v>2026.0</v>
      </c>
      <c r="G17" s="39"/>
    </row>
    <row r="18" ht="31.5" customHeight="1">
      <c r="A18" s="22">
        <v>17.0</v>
      </c>
      <c r="B18" s="22" t="s">
        <v>998</v>
      </c>
      <c r="C18" s="22" t="s">
        <v>30</v>
      </c>
      <c r="D18" s="37" t="str">
        <f>HYPERLINK("https://www.geeksforgeeks.org/reactjs/what-is-the-difference-between-react-native-and-react/","https://www.geeksforgeeks.org/reactjs/what-is-the-difference-between-react-native-and-react/")</f>
        <v>https://www.geeksforgeeks.org/reactjs/what-is-the-difference-between-react-native-and-react/</v>
      </c>
      <c r="E18" s="22" t="s">
        <v>559</v>
      </c>
      <c r="F18" s="38">
        <v>2026.0</v>
      </c>
      <c r="G18" s="37" t="str">
        <f>HYPERLINK("https://www.youtube.com/watch?v=EVSMegdj6tY","https://www.youtube.com/watch?v=EVSMegdj6tY")</f>
        <v>https://www.youtube.com/watch?v=EVSMegdj6tY</v>
      </c>
    </row>
    <row r="19" ht="31.5" customHeight="1">
      <c r="A19" s="22">
        <v>18.0</v>
      </c>
      <c r="B19" s="22" t="s">
        <v>1001</v>
      </c>
      <c r="C19" s="22" t="s">
        <v>30</v>
      </c>
      <c r="D19" s="37" t="str">
        <f>HYPERLINK("https://www.geeksforgeeks.org/difference-between-firebase-and-mongodb/","https://www.geeksforgeeks.org/difference-between-firebase-and-mongodb/")</f>
        <v>https://www.geeksforgeeks.org/difference-between-firebase-and-mongodb/</v>
      </c>
      <c r="E19" s="22" t="s">
        <v>559</v>
      </c>
      <c r="F19" s="38">
        <v>2026.0</v>
      </c>
      <c r="G19" s="37" t="str">
        <f>HYPERLINK("https://www.youtube.com/watch?v=Nw1Pv-LrNcc","https://www.youtube.com/watch?v=Nw1Pv-LrNcc")</f>
        <v>https://www.youtube.com/watch?v=Nw1Pv-LrNcc</v>
      </c>
    </row>
    <row r="20" ht="31.5" customHeight="1">
      <c r="A20" s="22">
        <v>19.0</v>
      </c>
      <c r="B20" s="22" t="s">
        <v>1005</v>
      </c>
      <c r="C20" s="22" t="s">
        <v>30</v>
      </c>
      <c r="D20" s="37" t="str">
        <f>HYPERLINK("https://www.geeksforgeeks.org/cpp/cpp-variables/","https://www.geeksforgeeks.org/cpp/cpp-variables/")</f>
        <v>https://www.geeksforgeeks.org/cpp/cpp-variables/</v>
      </c>
      <c r="E20" s="22" t="s">
        <v>559</v>
      </c>
      <c r="F20" s="38">
        <v>2026.0</v>
      </c>
      <c r="G20" s="37" t="str">
        <f>HYPERLINK("https://www.youtube.com/watch?v=lClUzu1j4xc","https://www.youtube.com/watch?v=lClUzu1j4xc")</f>
        <v>https://www.youtube.com/watch?v=lClUzu1j4xc</v>
      </c>
    </row>
    <row r="21" ht="31.5" customHeight="1">
      <c r="A21" s="22">
        <v>20.0</v>
      </c>
      <c r="B21" s="22" t="s">
        <v>1007</v>
      </c>
      <c r="C21" s="22" t="s">
        <v>30</v>
      </c>
      <c r="D21" s="37" t="str">
        <f>HYPERLINK("https://www.learncpp.com/cpp-tutorial/classes-and-header-files/","https://www.learncpp.com/cpp-tutorial/classes-and-header-files/")</f>
        <v>https://www.learncpp.com/cpp-tutorial/classes-and-header-files/</v>
      </c>
      <c r="E21" s="22" t="s">
        <v>559</v>
      </c>
      <c r="F21" s="38">
        <v>2026.0</v>
      </c>
      <c r="G21" s="39"/>
    </row>
    <row r="22" ht="31.5" customHeight="1">
      <c r="A22" s="22">
        <v>21.0</v>
      </c>
      <c r="B22" s="22" t="s">
        <v>677</v>
      </c>
      <c r="C22" s="22" t="s">
        <v>30</v>
      </c>
      <c r="D22" s="37" t="str">
        <f>HYPERLINK("https://www.geeksforgeeks.org/cpp/the-c-standard-template-library-stl/","https://www.geeksforgeeks.org/cpp/the-c-standard-template-library-stl/")</f>
        <v>https://www.geeksforgeeks.org/cpp/the-c-standard-template-library-stl/</v>
      </c>
      <c r="E22" s="22" t="s">
        <v>559</v>
      </c>
      <c r="F22" s="38">
        <v>2026.0</v>
      </c>
      <c r="G22" s="37" t="str">
        <f>HYPERLINK("https://www.youtube.com/watch?v=okhdtEk1iKk","https://www.youtube.com/watch?v=okhdtEk1iKk")</f>
        <v>https://www.youtube.com/watch?v=okhdtEk1iKk</v>
      </c>
    </row>
    <row r="23" ht="31.5" customHeight="1">
      <c r="A23" s="22">
        <v>22.0</v>
      </c>
      <c r="B23" s="22" t="s">
        <v>1010</v>
      </c>
      <c r="C23" s="22" t="s">
        <v>30</v>
      </c>
      <c r="D23" s="37" t="str">
        <f>HYPERLINK("https://www.geeksforgeeks.org/difference-between-c-and-c/","https://www.geeksforgeeks.org/difference-between-c-and-c/")</f>
        <v>https://www.geeksforgeeks.org/difference-between-c-and-c/</v>
      </c>
      <c r="E23" s="22" t="s">
        <v>559</v>
      </c>
      <c r="F23" s="38">
        <v>2026.0</v>
      </c>
      <c r="G23" s="39"/>
    </row>
    <row r="24" ht="31.5" customHeight="1">
      <c r="A24" s="22">
        <v>23.0</v>
      </c>
      <c r="B24" s="22" t="s">
        <v>1012</v>
      </c>
      <c r="C24" s="22" t="s">
        <v>30</v>
      </c>
      <c r="D24" s="37" t="str">
        <f>HYPERLINK("https://www.geeksforgeeks.org/cpp/cpp-polymorphism/","https://www.geeksforgeeks.org/cpp/cpp-polymorphism/")</f>
        <v>https://www.geeksforgeeks.org/cpp/cpp-polymorphism/</v>
      </c>
      <c r="E24" s="22" t="s">
        <v>559</v>
      </c>
      <c r="F24" s="38">
        <v>2026.0</v>
      </c>
      <c r="G24" s="39"/>
    </row>
    <row r="25" ht="31.5" customHeight="1">
      <c r="A25" s="22">
        <v>24.0</v>
      </c>
      <c r="B25" s="22" t="s">
        <v>1013</v>
      </c>
      <c r="C25" s="22" t="s">
        <v>30</v>
      </c>
      <c r="D25" s="37" t="str">
        <f>HYPERLINK("https://www.geeksforgeeks.org/cpp/object-slicing-in-c/","https://www.geeksforgeeks.org/cpp/object-slicing-in-c/")</f>
        <v>https://www.geeksforgeeks.org/cpp/object-slicing-in-c/</v>
      </c>
      <c r="E25" s="22" t="s">
        <v>559</v>
      </c>
      <c r="F25" s="38">
        <v>2026.0</v>
      </c>
      <c r="G25" s="37" t="str">
        <f>HYPERLINK("https://www.youtube.com/watch?v=ezgq_fShJw4","https://www.youtube.com/watch?v=ezgq_fShJw4")</f>
        <v>https://www.youtube.com/watch?v=ezgq_fShJw4</v>
      </c>
    </row>
    <row r="26" ht="31.5" customHeight="1">
      <c r="A26" s="22">
        <v>25.0</v>
      </c>
      <c r="B26" s="22" t="s">
        <v>1015</v>
      </c>
      <c r="C26" s="22" t="s">
        <v>30</v>
      </c>
      <c r="D26" s="39"/>
      <c r="E26" s="22" t="s">
        <v>14</v>
      </c>
      <c r="F26" s="38">
        <v>2025.0</v>
      </c>
      <c r="G26" s="39"/>
    </row>
  </sheetData>
  <autoFilter ref="$A$1:$G$26"/>
  <dataValidations>
    <dataValidation type="list" allowBlank="1" showErrorMessage="1" sqref="C2:C26">
      <formula1>"Easy,Medium,Hard"</formula1>
    </dataValidation>
  </dataValidation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 ht="24.0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6</v>
      </c>
      <c r="G1" s="36" t="s">
        <v>526</v>
      </c>
    </row>
    <row r="2" ht="31.5" customHeight="1">
      <c r="A2" s="22">
        <v>1.0</v>
      </c>
      <c r="B2" s="22" t="s">
        <v>963</v>
      </c>
      <c r="C2" s="22" t="s">
        <v>30</v>
      </c>
      <c r="D2" s="39"/>
      <c r="E2" s="22" t="s">
        <v>14</v>
      </c>
      <c r="F2" s="38">
        <v>2024.0</v>
      </c>
      <c r="G2" s="39"/>
    </row>
    <row r="3" ht="31.5" customHeight="1">
      <c r="A3" s="22">
        <v>2.0</v>
      </c>
      <c r="B3" s="22" t="s">
        <v>966</v>
      </c>
      <c r="C3" s="22" t="s">
        <v>13</v>
      </c>
      <c r="D3" s="39"/>
      <c r="E3" s="22" t="s">
        <v>14</v>
      </c>
      <c r="F3" s="38">
        <v>2024.0</v>
      </c>
      <c r="G3" s="39"/>
    </row>
    <row r="4" ht="31.5" customHeight="1">
      <c r="A4" s="22">
        <v>3.0</v>
      </c>
      <c r="B4" s="22" t="s">
        <v>968</v>
      </c>
      <c r="C4" s="22" t="s">
        <v>21</v>
      </c>
      <c r="D4" s="37" t="str">
        <f>HYPERLINK("https://codeforces.com/problemset/problem/1187/D","https://codeforces.com/problemset/problem/1187/D")</f>
        <v>https://codeforces.com/problemset/problem/1187/D</v>
      </c>
      <c r="E4" s="22" t="s">
        <v>14</v>
      </c>
      <c r="F4" s="38">
        <v>2024.0</v>
      </c>
      <c r="G4" s="39"/>
    </row>
    <row r="5" ht="31.5" customHeight="1">
      <c r="A5" s="22">
        <v>4.0</v>
      </c>
      <c r="B5" s="22" t="s">
        <v>970</v>
      </c>
      <c r="C5" s="22" t="s">
        <v>30</v>
      </c>
      <c r="D5" s="37" t="str">
        <f>HYPERLINK("https://www.geeksforgeeks.org/types-of-linked-list/","https://www.geeksforgeeks.org/types-of-linked-list/")</f>
        <v>https://www.geeksforgeeks.org/types-of-linked-list/</v>
      </c>
      <c r="E5" s="22" t="s">
        <v>559</v>
      </c>
      <c r="F5" s="38">
        <v>2024.0</v>
      </c>
      <c r="G5" s="37" t="str">
        <f>HYPERLINK("https://www.youtube.com/watch?v=N6dOwBde7-M","https://www.youtube.com/watch?v=N6dOwBde7-M")</f>
        <v>https://www.youtube.com/watch?v=N6dOwBde7-M</v>
      </c>
    </row>
    <row r="6" ht="31.5" customHeight="1">
      <c r="A6" s="22">
        <v>5.0</v>
      </c>
      <c r="B6" s="22" t="s">
        <v>973</v>
      </c>
      <c r="C6" s="22" t="s">
        <v>30</v>
      </c>
      <c r="D6" s="37" t="str">
        <f>HYPERLINK("https://www.geeksforgeeks.org/dsa/difference-between-bfs-and-dfs/","https://www.geeksforgeeks.org/dsa/difference-between-bfs-and-dfs/")</f>
        <v>https://www.geeksforgeeks.org/dsa/difference-between-bfs-and-dfs/</v>
      </c>
      <c r="E6" s="22" t="s">
        <v>559</v>
      </c>
      <c r="F6" s="38">
        <v>2024.0</v>
      </c>
      <c r="G6" s="37" t="str">
        <f>HYPERLINK("https://www.youtube.com/watch?v=pcKY4hjDrxk","https://www.youtube.com/watch?v=pcKY4hjDrxk")</f>
        <v>https://www.youtube.com/watch?v=pcKY4hjDrxk</v>
      </c>
    </row>
    <row r="7" ht="31.5" customHeight="1">
      <c r="A7" s="22">
        <v>6.0</v>
      </c>
      <c r="B7" s="22" t="s">
        <v>976</v>
      </c>
      <c r="C7" s="22" t="s">
        <v>30</v>
      </c>
      <c r="D7" s="37" t="str">
        <f>HYPERLINK("https://leetcode.com/problems/maximum-depth-of-binary-tree/","https://leetcode.com/problems/maximum-depth-of-binary-tree/")</f>
        <v>https://leetcode.com/problems/maximum-depth-of-binary-tree/</v>
      </c>
      <c r="E7" s="22" t="s">
        <v>559</v>
      </c>
      <c r="F7" s="38">
        <v>2024.0</v>
      </c>
      <c r="G7" s="37" t="str">
        <f>HYPERLINK("https://www.youtube.com/watch?v=hTM3phVI6YQ","https://www.youtube.com/watch?v=hTM3phVI6YQ")</f>
        <v>https://www.youtube.com/watch?v=hTM3phVI6YQ</v>
      </c>
    </row>
    <row r="8" ht="31.5" customHeight="1">
      <c r="A8" s="22">
        <v>7.0</v>
      </c>
      <c r="B8" s="22" t="s">
        <v>980</v>
      </c>
      <c r="C8" s="22" t="s">
        <v>30</v>
      </c>
      <c r="D8" s="37" t="str">
        <f>HYPERLINK("https://leetcode.com/problems/second-highest-salary/","https://leetcode.com/problems/second-highest-salary/")</f>
        <v>https://leetcode.com/problems/second-highest-salary/</v>
      </c>
      <c r="E8" s="22" t="s">
        <v>559</v>
      </c>
      <c r="F8" s="38">
        <v>2024.0</v>
      </c>
      <c r="G8" s="37" t="str">
        <f>HYPERLINK("https://www.youtube.com/watch?v=FSSKteJmWMs","https://www.youtube.com/watch?v=FSSKteJmWMs")</f>
        <v>https://www.youtube.com/watch?v=FSSKteJmWMs</v>
      </c>
    </row>
    <row r="9" ht="31.5" customHeight="1">
      <c r="A9" s="22">
        <v>8.0</v>
      </c>
      <c r="B9" s="22" t="s">
        <v>983</v>
      </c>
      <c r="C9" s="22" t="s">
        <v>30</v>
      </c>
      <c r="D9" s="37" t="str">
        <f>HYPERLINK("https://www.geeksforgeeks.org/sql/sql-limit-clause/","https://www.geeksforgeeks.org/sql/sql-limit-clause/")</f>
        <v>https://www.geeksforgeeks.org/sql/sql-limit-clause/</v>
      </c>
      <c r="E9" s="22" t="s">
        <v>559</v>
      </c>
      <c r="F9" s="38">
        <v>2024.0</v>
      </c>
      <c r="G9" s="37" t="str">
        <f>HYPERLINK("https://www.youtube.com/watch?v=8p_OzqIJ_p4","https://www.youtube.com/watch?v=8p_OzqIJ_p4")</f>
        <v>https://www.youtube.com/watch?v=8p_OzqIJ_p4</v>
      </c>
    </row>
    <row r="10" ht="31.5" customHeight="1">
      <c r="A10" s="22">
        <v>9.0</v>
      </c>
      <c r="B10" s="22" t="s">
        <v>992</v>
      </c>
      <c r="C10" s="22" t="s">
        <v>30</v>
      </c>
      <c r="D10" s="37" t="str">
        <f>HYPERLINK("https://www.geeksforgeeks.org/cpp/function-overloading-vs-function-overriding-in-cpp/","https://www.geeksforgeeks.org/cpp/function-overloading-vs-function-overriding-in-cpp/")</f>
        <v>https://www.geeksforgeeks.org/cpp/function-overloading-vs-function-overriding-in-cpp/</v>
      </c>
      <c r="E10" s="22" t="s">
        <v>559</v>
      </c>
      <c r="F10" s="38">
        <v>2024.0</v>
      </c>
      <c r="G10" s="37" t="str">
        <f>HYPERLINK("https://www.youtube.com/watch?v=ryDeTfmSY_o","https://www.youtube.com/watch?v=ryDeTfmSY_o")</f>
        <v>https://www.youtube.com/watch?v=ryDeTfmSY_o</v>
      </c>
    </row>
    <row r="11" ht="31.5" customHeight="1">
      <c r="A11" s="22">
        <v>10.0</v>
      </c>
      <c r="B11" s="22" t="s">
        <v>995</v>
      </c>
      <c r="C11" s="22" t="s">
        <v>30</v>
      </c>
      <c r="D11" s="37" t="str">
        <f>HYPERLINK("https://www.geeksforgeeks.org/multiple-inheritance-in-c/","https://www.geeksforgeeks.org/multiple-inheritance-in-c/")</f>
        <v>https://www.geeksforgeeks.org/multiple-inheritance-in-c/</v>
      </c>
      <c r="E11" s="22" t="s">
        <v>559</v>
      </c>
      <c r="F11" s="38">
        <v>2024.0</v>
      </c>
      <c r="G11" s="37" t="str">
        <f>HYPERLINK("https://www.youtube.com/watch?v=Hkv4pYm0NRI","https://www.youtube.com/watch?v=Hkv4pYm0NRI")</f>
        <v>https://www.youtube.com/watch?v=Hkv4pYm0NRI</v>
      </c>
    </row>
    <row r="12" ht="31.5" customHeight="1">
      <c r="A12" s="22">
        <v>11.0</v>
      </c>
      <c r="B12" s="22" t="s">
        <v>997</v>
      </c>
      <c r="C12" s="22" t="s">
        <v>13</v>
      </c>
      <c r="D12" s="37" t="str">
        <f>HYPERLINK("https://www.geeksforgeeks.org/virtual-base-class-in-c/","https://www.geeksforgeeks.org/virtual-base-class-in-c/")</f>
        <v>https://www.geeksforgeeks.org/virtual-base-class-in-c/</v>
      </c>
      <c r="E12" s="22" t="s">
        <v>559</v>
      </c>
      <c r="F12" s="38">
        <v>2024.0</v>
      </c>
      <c r="G12" s="37" t="str">
        <f>HYPERLINK("https://www.youtube.com/watch?v=7Zpuz4T4SGw","https://www.youtube.com/watch?v=7Zpuz4T4SGw")</f>
        <v>https://www.youtube.com/watch?v=7Zpuz4T4SGw</v>
      </c>
    </row>
    <row r="13" ht="31.5" customHeight="1">
      <c r="A13" s="22">
        <v>12.0</v>
      </c>
      <c r="B13" s="22" t="s">
        <v>999</v>
      </c>
      <c r="C13" s="22" t="s">
        <v>30</v>
      </c>
      <c r="D13" s="37" t="str">
        <f>HYPERLINK("https://www.geeksforgeeks.org/difference-between-while-and-do-while-loop-in-c-c-java/","https://www.geeksforgeeks.org/difference-between-while-and-do-while-loop-in-c-c-java/")</f>
        <v>https://www.geeksforgeeks.org/difference-between-while-and-do-while-loop-in-c-c-java/</v>
      </c>
      <c r="E13" s="22" t="s">
        <v>559</v>
      </c>
      <c r="F13" s="38">
        <v>2024.0</v>
      </c>
      <c r="G13" s="37" t="str">
        <f>HYPERLINK("https://www.youtube.com/watch?v=TjkJQly2YCw","https://www.youtube.com/watch?v=TjkJQly2YCw")</f>
        <v>https://www.youtube.com/watch?v=TjkJQly2YCw</v>
      </c>
    </row>
    <row r="14" ht="31.5" customHeight="1">
      <c r="A14" s="22">
        <v>13.0</v>
      </c>
      <c r="B14" s="22" t="s">
        <v>1002</v>
      </c>
      <c r="C14" s="22" t="s">
        <v>30</v>
      </c>
      <c r="D14" s="37" t="str">
        <f>HYPERLINK("https://www.geeksforgeeks.org/sql/sql-join-set-1-inner-left-right-and-full-joins/","https://www.geeksforgeeks.org/sql/sql-join-set-1-inner-left-right-and-full-joins/")</f>
        <v>https://www.geeksforgeeks.org/sql/sql-join-set-1-inner-left-right-and-full-joins/</v>
      </c>
      <c r="E14" s="22" t="s">
        <v>536</v>
      </c>
      <c r="F14" s="38">
        <v>2024.0</v>
      </c>
      <c r="G14" s="37" t="str">
        <f>HYPERLINK("https://www.youtube.com/watch?v=h4EQBAzW3m4","https://www.youtube.com/watch?v=h4EQBAzW3m4")</f>
        <v>https://www.youtube.com/watch?v=h4EQBAzW3m4</v>
      </c>
    </row>
    <row r="15" ht="31.5" customHeight="1">
      <c r="A15" s="22">
        <v>14.0</v>
      </c>
      <c r="B15" s="22" t="s">
        <v>1004</v>
      </c>
      <c r="C15" s="22" t="s">
        <v>30</v>
      </c>
      <c r="D15" s="39"/>
      <c r="E15" s="22" t="s">
        <v>536</v>
      </c>
      <c r="F15" s="38">
        <v>2024.0</v>
      </c>
      <c r="G15" s="37" t="str">
        <f>HYPERLINK("https://www.youtube.com/watch?v=YTJdBA9wZro","https://www.youtube.com/watch?v=YTJdBA9wZro")</f>
        <v>https://www.youtube.com/watch?v=YTJdBA9wZro</v>
      </c>
    </row>
  </sheetData>
  <autoFilter ref="$A$1:$G$15"/>
  <dataValidations>
    <dataValidation type="list" allowBlank="1" showErrorMessage="1" sqref="C2:C15">
      <formula1>"Easy,Medium,Hard"</formula1>
    </dataValidation>
  </dataValidation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 ht="24.0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6</v>
      </c>
      <c r="G1" s="36" t="s">
        <v>526</v>
      </c>
    </row>
    <row r="2" ht="31.5" customHeight="1">
      <c r="A2" s="22">
        <v>1.0</v>
      </c>
      <c r="B2" s="22" t="s">
        <v>967</v>
      </c>
      <c r="C2" s="22" t="s">
        <v>13</v>
      </c>
      <c r="D2" s="37" t="str">
        <f>HYPERLINK("https://leetcode.com/problems/3sum/","https://leetcode.com/problems/3sum/")</f>
        <v>https://leetcode.com/problems/3sum/</v>
      </c>
      <c r="E2" s="22" t="s">
        <v>559</v>
      </c>
      <c r="F2" s="38">
        <v>2021.0</v>
      </c>
      <c r="G2" s="37" t="str">
        <f>HYPERLINK("https://www.youtube.com/watch?v=jzZsG8n2R9A","https://www.youtube.com/watch?v=jzZsG8n2R9A")</f>
        <v>https://www.youtube.com/watch?v=jzZsG8n2R9A</v>
      </c>
    </row>
    <row r="3" ht="31.5" customHeight="1">
      <c r="A3" s="22">
        <v>2.0</v>
      </c>
      <c r="B3" s="22" t="s">
        <v>971</v>
      </c>
      <c r="C3" s="22" t="s">
        <v>13</v>
      </c>
      <c r="D3" s="37" t="str">
        <f>HYPERLINK("https://www.geeksforgeeks.org/dsa/number-buildings-facing-sun/","https://www.geeksforgeeks.org/dsa/number-buildings-facing-sun/")</f>
        <v>https://www.geeksforgeeks.org/dsa/number-buildings-facing-sun/</v>
      </c>
      <c r="E3" s="22" t="s">
        <v>559</v>
      </c>
      <c r="F3" s="38">
        <v>2021.0</v>
      </c>
      <c r="G3" s="39"/>
    </row>
    <row r="4" ht="31.5" customHeight="1">
      <c r="A4" s="22">
        <v>3.0</v>
      </c>
      <c r="B4" s="22" t="s">
        <v>975</v>
      </c>
      <c r="C4" s="22" t="s">
        <v>30</v>
      </c>
      <c r="D4" s="37" t="str">
        <f>HYPERLINK("https://www.geeksforgeeks.org/sql/difference-between-delete-and-truncate/","https://www.geeksforgeeks.org/sql/difference-between-delete-and-truncate/")</f>
        <v>https://www.geeksforgeeks.org/sql/difference-between-delete-and-truncate/</v>
      </c>
      <c r="E4" s="22" t="s">
        <v>559</v>
      </c>
      <c r="F4" s="38">
        <v>2021.0</v>
      </c>
      <c r="G4" s="37" t="str">
        <f>HYPERLINK("https://www.youtube.com/watch?v=2tT9SZCqRHc","https://www.youtube.com/watch?v=2tT9SZCqRHc")</f>
        <v>https://www.youtube.com/watch?v=2tT9SZCqRHc</v>
      </c>
    </row>
    <row r="5" ht="31.5" customHeight="1">
      <c r="A5" s="22">
        <v>4.0</v>
      </c>
      <c r="B5" s="22" t="s">
        <v>978</v>
      </c>
      <c r="C5" s="22" t="s">
        <v>30</v>
      </c>
      <c r="D5" s="37" t="str">
        <f>HYPERLINK("https://leetcode.com/problems/single-number/","https://leetcode.com/problems/single-number/")</f>
        <v>https://leetcode.com/problems/single-number/</v>
      </c>
      <c r="E5" s="22" t="s">
        <v>559</v>
      </c>
      <c r="F5" s="38">
        <v>2021.0</v>
      </c>
      <c r="G5" s="37" t="str">
        <f>HYPERLINK("https://www.youtube.com/watch?v=qMPX1AOa83k","https://www.youtube.com/watch?v=qMPX1AOa83k")</f>
        <v>https://www.youtube.com/watch?v=qMPX1AOa83k</v>
      </c>
    </row>
    <row r="6" ht="31.5" customHeight="1">
      <c r="A6" s="22">
        <v>5.0</v>
      </c>
      <c r="B6" s="22" t="s">
        <v>981</v>
      </c>
      <c r="C6" s="22" t="s">
        <v>13</v>
      </c>
      <c r="D6" s="39"/>
      <c r="E6" s="22" t="s">
        <v>559</v>
      </c>
      <c r="F6" s="38">
        <v>2021.0</v>
      </c>
      <c r="G6" s="39"/>
    </row>
    <row r="7" ht="31.5" customHeight="1">
      <c r="A7" s="22">
        <v>6.0</v>
      </c>
      <c r="B7" s="22" t="s">
        <v>982</v>
      </c>
      <c r="C7" s="22" t="s">
        <v>13</v>
      </c>
      <c r="D7" s="37" t="str">
        <f>HYPERLINK("https://www.geeksforgeeks.org/dbms/normal-forms-in-dbms/","https://www.geeksforgeeks.org/dbms/normal-forms-in-dbms/")</f>
        <v>https://www.geeksforgeeks.org/dbms/normal-forms-in-dbms/</v>
      </c>
      <c r="E7" s="22" t="s">
        <v>985</v>
      </c>
      <c r="F7" s="38">
        <v>2021.0</v>
      </c>
      <c r="G7" s="39"/>
    </row>
    <row r="8" ht="31.5" customHeight="1">
      <c r="A8" s="22">
        <v>7.0</v>
      </c>
      <c r="B8" s="22" t="s">
        <v>986</v>
      </c>
      <c r="C8" s="22" t="s">
        <v>30</v>
      </c>
      <c r="D8" s="37" t="str">
        <f>HYPERLINK("https://www.geeksforgeeks.org/dbms/introduction-of-database-normalization/","https://www.geeksforgeeks.org/dbms/introduction-of-database-normalization/")</f>
        <v>https://www.geeksforgeeks.org/dbms/introduction-of-database-normalization/</v>
      </c>
      <c r="E8" s="22" t="s">
        <v>991</v>
      </c>
      <c r="F8" s="38">
        <v>2021.0</v>
      </c>
      <c r="G8" s="37" t="str">
        <f>HYPERLINK("https://www.youtube.com/watch?v=ABwD8IYByfk","https://www.youtube.com/watch?v=ABwD8IYByfk")</f>
        <v>https://www.youtube.com/watch?v=ABwD8IYByfk</v>
      </c>
    </row>
    <row r="9" ht="31.5" customHeight="1">
      <c r="A9" s="22">
        <v>8.0</v>
      </c>
      <c r="B9" s="22" t="s">
        <v>567</v>
      </c>
      <c r="C9" s="22" t="s">
        <v>30</v>
      </c>
      <c r="D9" s="37" t="str">
        <f>HYPERLINK("https://www.geeksforgeeks.org/dbms/acid-properties-in-dbms/","https://www.geeksforgeeks.org/dbms/acid-properties-in-dbms/")</f>
        <v>https://www.geeksforgeeks.org/dbms/acid-properties-in-dbms/</v>
      </c>
      <c r="E9" s="22" t="s">
        <v>991</v>
      </c>
      <c r="F9" s="38">
        <v>2021.0</v>
      </c>
      <c r="G9" s="37" t="str">
        <f>HYPERLINK("https://www.youtube.com/watch?v=-GS0OxFJsYQ","https://www.youtube.com/watch?v=-GS0OxFJsYQ")</f>
        <v>https://www.youtube.com/watch?v=-GS0OxFJsYQ</v>
      </c>
    </row>
  </sheetData>
  <autoFilter ref="$A$1:$G$9"/>
  <dataValidations>
    <dataValidation type="list" allowBlank="1" showErrorMessage="1" sqref="C2:C9">
      <formula1>"Easy,Medium,Hard"</formula1>
    </dataValidation>
  </dataValidation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 ht="24.0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6</v>
      </c>
      <c r="G1" s="36" t="s">
        <v>526</v>
      </c>
    </row>
    <row r="2" ht="31.5" customHeight="1">
      <c r="A2" s="22">
        <v>1.0</v>
      </c>
      <c r="B2" s="22" t="s">
        <v>1000</v>
      </c>
      <c r="C2" s="22" t="s">
        <v>13</v>
      </c>
      <c r="D2" s="37" t="str">
        <f>HYPERLINK("https://www.geeksforgeeks.org/dbms/indexing-in-databases-set-1/","https://www.geeksforgeeks.org/dbms/indexing-in-databases-set-1/")</f>
        <v>https://www.geeksforgeeks.org/dbms/indexing-in-databases-set-1/</v>
      </c>
      <c r="E2" s="22" t="s">
        <v>559</v>
      </c>
      <c r="F2" s="38">
        <v>2021.0</v>
      </c>
      <c r="G2" s="39"/>
    </row>
    <row r="3" ht="31.5" customHeight="1">
      <c r="A3" s="22">
        <v>2.0</v>
      </c>
      <c r="B3" s="22" t="s">
        <v>1003</v>
      </c>
      <c r="C3" s="22" t="s">
        <v>13</v>
      </c>
      <c r="D3" s="37" t="str">
        <f>HYPERLINK("https://www.geeksforgeeks.org/dbms/query-processing-in-dbms/","https://www.geeksforgeeks.org/dbms/query-processing-in-dbms/")</f>
        <v>https://www.geeksforgeeks.org/dbms/query-processing-in-dbms/</v>
      </c>
      <c r="E3" s="22" t="s">
        <v>559</v>
      </c>
      <c r="F3" s="38">
        <v>2021.0</v>
      </c>
      <c r="G3" s="37" t="str">
        <f>HYPERLINK("https://www.youtube.com/watch?v=wP2giPPgwqI","https://www.youtube.com/watch?v=wP2giPPgwqI")</f>
        <v>https://www.youtube.com/watch?v=wP2giPPgwqI</v>
      </c>
    </row>
    <row r="4" ht="31.5" customHeight="1">
      <c r="A4" s="22">
        <v>3.0</v>
      </c>
      <c r="B4" s="22" t="s">
        <v>1006</v>
      </c>
      <c r="C4" s="22" t="s">
        <v>30</v>
      </c>
      <c r="D4" s="37" t="str">
        <f>HYPERLINK("https://www.geeksforgeeks.org/sql/sql-query-to-find-second-largest-salary/","https://www.geeksforgeeks.org/sql/sql-query-to-find-second-largest-salary/")</f>
        <v>https://www.geeksforgeeks.org/sql/sql-query-to-find-second-largest-salary/</v>
      </c>
      <c r="E4" s="22" t="s">
        <v>559</v>
      </c>
      <c r="F4" s="38">
        <v>2021.0</v>
      </c>
      <c r="G4" s="37" t="str">
        <f>HYPERLINK("https://www.youtube.com/watch?v=PN9wLmvq81o","https://www.youtube.com/watch?v=PN9wLmvq81o")</f>
        <v>https://www.youtube.com/watch?v=PN9wLmvq81o</v>
      </c>
    </row>
    <row r="5" ht="31.5" customHeight="1">
      <c r="A5" s="22">
        <v>4.0</v>
      </c>
      <c r="B5" s="22" t="s">
        <v>1008</v>
      </c>
      <c r="C5" s="22" t="s">
        <v>21</v>
      </c>
      <c r="D5" s="39"/>
      <c r="E5" s="22" t="s">
        <v>559</v>
      </c>
      <c r="F5" s="38">
        <v>2021.0</v>
      </c>
      <c r="G5" s="39"/>
    </row>
    <row r="6" ht="31.5" customHeight="1">
      <c r="A6" s="22">
        <v>5.0</v>
      </c>
      <c r="B6" s="22" t="s">
        <v>1009</v>
      </c>
      <c r="C6" s="22" t="s">
        <v>13</v>
      </c>
      <c r="D6" s="37" t="str">
        <f>HYPERLINK("https://leetcode.com/discuss/interview-question/connected-sum-in-a-graph","https://leetcode.com/discuss/interview-question/connected-sum-in-a-graph")</f>
        <v>https://leetcode.com/discuss/interview-question/connected-sum-in-a-graph</v>
      </c>
      <c r="E6" s="22" t="s">
        <v>14</v>
      </c>
      <c r="F6" s="38">
        <v>2023.0</v>
      </c>
      <c r="G6" s="39"/>
    </row>
    <row r="7" ht="31.5" customHeight="1">
      <c r="A7" s="22">
        <v>6.0</v>
      </c>
      <c r="B7" s="22" t="s">
        <v>1011</v>
      </c>
      <c r="C7" s="22" t="s">
        <v>13</v>
      </c>
      <c r="D7" s="37" t="str">
        <f>HYPERLINK("https://www.geeksforgeeks.org/count-triplets-with-sum-smaller-that-a-given-value/","https://www.geeksforgeeks.org/count-triplets-with-sum-smaller-that-a-given-value/")</f>
        <v>https://www.geeksforgeeks.org/count-triplets-with-sum-smaller-that-a-given-value/</v>
      </c>
      <c r="E7" s="22" t="s">
        <v>14</v>
      </c>
      <c r="F7" s="38">
        <v>2023.0</v>
      </c>
      <c r="G7" s="39"/>
    </row>
    <row r="8" ht="31.5" customHeight="1">
      <c r="A8" s="22">
        <v>7.0</v>
      </c>
      <c r="B8" s="22" t="s">
        <v>1014</v>
      </c>
      <c r="C8" s="22" t="s">
        <v>30</v>
      </c>
      <c r="D8" s="37" t="str">
        <f>HYPERLINK("https://www.geeksforgeeks.org/dsa/circular-linked-list/","https://www.geeksforgeeks.org/dsa/circular-linked-list/")</f>
        <v>https://www.geeksforgeeks.org/dsa/circular-linked-list/</v>
      </c>
      <c r="E8" s="22" t="s">
        <v>559</v>
      </c>
      <c r="F8" s="38">
        <v>2023.0</v>
      </c>
      <c r="G8" s="37" t="str">
        <f>HYPERLINK("https://www.youtube.com/watch?v=nquQ_fYGGA4","https://www.youtube.com/watch?v=nquQ_fYGGA4")</f>
        <v>https://www.youtube.com/watch?v=nquQ_fYGGA4</v>
      </c>
    </row>
    <row r="9" ht="31.5" customHeight="1">
      <c r="A9" s="22">
        <v>8.0</v>
      </c>
      <c r="B9" s="22" t="s">
        <v>1016</v>
      </c>
      <c r="C9" s="22" t="s">
        <v>30</v>
      </c>
      <c r="D9" s="37" t="str">
        <f>HYPERLINK("https://www.geeksforgeeks.org/dsa/introduction-to-avl-tree/","https://www.geeksforgeeks.org/dsa/introduction-to-avl-tree/")</f>
        <v>https://www.geeksforgeeks.org/dsa/introduction-to-avl-tree/</v>
      </c>
      <c r="E9" s="22" t="s">
        <v>559</v>
      </c>
      <c r="F9" s="38">
        <v>2023.0</v>
      </c>
      <c r="G9" s="37" t="str">
        <f>HYPERLINK("https://www.youtube.com/watch?v=zP2xbKerIds","https://www.youtube.com/watch?v=zP2xbKerIds")</f>
        <v>https://www.youtube.com/watch?v=zP2xbKerIds</v>
      </c>
    </row>
    <row r="10" ht="31.5" customHeight="1">
      <c r="A10" s="22">
        <v>9.0</v>
      </c>
      <c r="B10" s="22" t="s">
        <v>1017</v>
      </c>
      <c r="C10" s="22" t="s">
        <v>21</v>
      </c>
      <c r="D10" s="37" t="str">
        <f>HYPERLINK("https://www.geeksforgeeks.org/find-the-largest-subtree-in-a-tree-that-is-also-a-bst/","https://www.geeksforgeeks.org/find-the-largest-subtree-in-a-tree-that-is-also-a-bst/")</f>
        <v>https://www.geeksforgeeks.org/find-the-largest-subtree-in-a-tree-that-is-also-a-bst/</v>
      </c>
      <c r="E10" s="22" t="s">
        <v>559</v>
      </c>
      <c r="F10" s="38">
        <v>2023.0</v>
      </c>
      <c r="G10" s="37" t="str">
        <f>HYPERLINK("https://www.youtube.com/watch?v=X0oXMdtUDwo","https://www.youtube.com/watch?v=X0oXMdtUDwo")</f>
        <v>https://www.youtube.com/watch?v=X0oXMdtUDwo</v>
      </c>
    </row>
    <row r="11" ht="31.5" customHeight="1">
      <c r="A11" s="22">
        <v>10.0</v>
      </c>
      <c r="B11" s="22" t="s">
        <v>1018</v>
      </c>
      <c r="C11" s="22" t="s">
        <v>13</v>
      </c>
      <c r="D11" s="37" t="str">
        <f>HYPERLINK("https://leetcode.com/discuss/interview-question/949904/amazon-oa2-nearest-city","https://leetcode.com/discuss/interview-question/949904/amazon-oa2-nearest-city")</f>
        <v>https://leetcode.com/discuss/interview-question/949904/amazon-oa2-nearest-city</v>
      </c>
      <c r="E11" s="22" t="s">
        <v>559</v>
      </c>
      <c r="F11" s="38">
        <v>2023.0</v>
      </c>
      <c r="G11" s="39"/>
    </row>
    <row r="12" ht="31.5" customHeight="1">
      <c r="A12" s="22">
        <v>11.0</v>
      </c>
      <c r="B12" s="22" t="s">
        <v>1019</v>
      </c>
      <c r="C12" s="22" t="s">
        <v>13</v>
      </c>
      <c r="D12" s="37" t="str">
        <f>HYPERLINK("https://www.geeksforgeeks.org/count-pairs-difference-equal-k/","https://www.geeksforgeeks.org/count-pairs-difference-equal-k/")</f>
        <v>https://www.geeksforgeeks.org/count-pairs-difference-equal-k/</v>
      </c>
      <c r="E12" s="22" t="s">
        <v>14</v>
      </c>
      <c r="F12" s="38">
        <v>2023.0</v>
      </c>
      <c r="G12" s="37" t="str">
        <f>HYPERLINK("https://www.youtube.com/watch?v=JjqI5aPlmcw","https://www.youtube.com/watch?v=JjqI5aPlmcw")</f>
        <v>https://www.youtube.com/watch?v=JjqI5aPlmcw</v>
      </c>
    </row>
    <row r="13" ht="31.5" customHeight="1">
      <c r="A13" s="22">
        <v>12.0</v>
      </c>
      <c r="B13" s="22" t="s">
        <v>1020</v>
      </c>
      <c r="C13" s="22" t="s">
        <v>21</v>
      </c>
      <c r="D13" s="37" t="str">
        <f>HYPERLINK("https://leetcode.com/problems/jump-game-vi/","https://leetcode.com/problems/jump-game-vi/")</f>
        <v>https://leetcode.com/problems/jump-game-vi/</v>
      </c>
      <c r="E13" s="22" t="s">
        <v>559</v>
      </c>
      <c r="F13" s="38">
        <v>2023.0</v>
      </c>
      <c r="G13" s="37" t="str">
        <f>HYPERLINK("https://www.youtube.com/watch?v=LiEcBMK5PQs","https://www.youtube.com/watch?v=LiEcBMK5PQs")</f>
        <v>https://www.youtube.com/watch?v=LiEcBMK5PQs</v>
      </c>
    </row>
    <row r="14" ht="31.5" customHeight="1">
      <c r="A14" s="22">
        <v>13.0</v>
      </c>
      <c r="B14" s="22" t="s">
        <v>1021</v>
      </c>
      <c r="C14" s="22" t="s">
        <v>13</v>
      </c>
      <c r="D14" s="37" t="str">
        <f>HYPERLINK("https://www.geeksforgeeks.org/sum-of-similarities-of-string-with-all-of-its-suffixes/","https://www.geeksforgeeks.org/sum-of-similarities-of-string-with-all-of-its-suffixes/")</f>
        <v>https://www.geeksforgeeks.org/sum-of-similarities-of-string-with-all-of-its-suffixes/</v>
      </c>
      <c r="E14" s="22" t="s">
        <v>14</v>
      </c>
      <c r="F14" s="38">
        <v>2023.0</v>
      </c>
      <c r="G14" s="39"/>
    </row>
    <row r="15" ht="31.5" customHeight="1">
      <c r="A15" s="22">
        <v>14.0</v>
      </c>
      <c r="B15" s="22" t="s">
        <v>1023</v>
      </c>
      <c r="C15" s="22" t="s">
        <v>30</v>
      </c>
      <c r="D15" s="37" t="str">
        <f>HYPERLINK("https://www.geeksforgeeks.org/dsa/linked-list-set-3-deleting-node/","https://www.geeksforgeeks.org/dsa/linked-list-set-3-deleting-node/")</f>
        <v>https://www.geeksforgeeks.org/dsa/linked-list-set-3-deleting-node/</v>
      </c>
      <c r="E15" s="22" t="s">
        <v>559</v>
      </c>
      <c r="F15" s="38">
        <v>2023.0</v>
      </c>
      <c r="G15" s="37" t="str">
        <f>HYPERLINK("https://www.youtube.com/watch?v=icnp4FJdZ_c","https://www.youtube.com/watch?v=icnp4FJdZ_c")</f>
        <v>https://www.youtube.com/watch?v=icnp4FJdZ_c</v>
      </c>
    </row>
    <row r="16" ht="31.5" customHeight="1">
      <c r="A16" s="22">
        <v>15.0</v>
      </c>
      <c r="B16" s="22" t="s">
        <v>1026</v>
      </c>
      <c r="C16" s="22" t="s">
        <v>30</v>
      </c>
      <c r="D16" s="37" t="str">
        <f>HYPERLINK("https://www.geeksforgeeks.org/dsa/deque-set-1-introduction-applications/","https://www.geeksforgeeks.org/dsa/deque-set-1-introduction-applications/")</f>
        <v>https://www.geeksforgeeks.org/dsa/deque-set-1-introduction-applications/</v>
      </c>
      <c r="E16" s="22" t="s">
        <v>559</v>
      </c>
      <c r="F16" s="38">
        <v>2023.0</v>
      </c>
      <c r="G16" s="37" t="str">
        <f>HYPERLINK("https://www.youtube.com/watch?v=pqg0SOPRlJ4","https://www.youtube.com/watch?v=pqg0SOPRlJ4")</f>
        <v>https://www.youtube.com/watch?v=pqg0SOPRlJ4</v>
      </c>
    </row>
    <row r="17" ht="31.5" customHeight="1">
      <c r="A17" s="22">
        <v>16.0</v>
      </c>
      <c r="B17" s="22" t="s">
        <v>1029</v>
      </c>
      <c r="C17" s="22" t="s">
        <v>30</v>
      </c>
      <c r="D17" s="37" t="str">
        <f>HYPERLINK("https://www.geeksforgeeks.org/dbms/set-theory-operations-in-relational-algebra/","https://www.geeksforgeeks.org/dbms/set-theory-operations-in-relational-algebra/")</f>
        <v>https://www.geeksforgeeks.org/dbms/set-theory-operations-in-relational-algebra/</v>
      </c>
      <c r="E17" s="22" t="s">
        <v>559</v>
      </c>
      <c r="F17" s="38">
        <v>2023.0</v>
      </c>
      <c r="G17" s="37" t="str">
        <f>HYPERLINK("https://www.youtube.com/watch?v=gyJYi56wkH4","https://www.youtube.com/watch?v=gyJYi56wkH4")</f>
        <v>https://www.youtube.com/watch?v=gyJYi56wkH4</v>
      </c>
    </row>
    <row r="18" ht="31.5" customHeight="1">
      <c r="A18" s="22">
        <v>17.0</v>
      </c>
      <c r="B18" s="22" t="s">
        <v>1032</v>
      </c>
      <c r="C18" s="22" t="s">
        <v>13</v>
      </c>
      <c r="D18" s="37" t="str">
        <f>HYPERLINK("https://www.geeksforgeeks.org/sql/sql-trigger-student-database/","https://www.geeksforgeeks.org/sql/sql-trigger-student-database/")</f>
        <v>https://www.geeksforgeeks.org/sql/sql-trigger-student-database/</v>
      </c>
      <c r="E18" s="22" t="s">
        <v>559</v>
      </c>
      <c r="F18" s="38">
        <v>2023.0</v>
      </c>
      <c r="G18" s="37" t="str">
        <f>HYPERLINK("https://www.youtube.com/watch?v=hDGpngdyImY","https://www.youtube.com/watch?v=hDGpngdyImY")</f>
        <v>https://www.youtube.com/watch?v=hDGpngdyImY</v>
      </c>
    </row>
    <row r="19" ht="31.5" customHeight="1">
      <c r="A19" s="22">
        <v>18.0</v>
      </c>
      <c r="B19" s="22" t="s">
        <v>1038</v>
      </c>
      <c r="C19" s="22" t="s">
        <v>13</v>
      </c>
      <c r="D19" s="37" t="str">
        <f>HYPERLINK("https://www.geeksforgeeks.org/problems/0-1-knapsack-problem0945/1","https://www.geeksforgeeks.org/problems/0-1-knapsack-problem0945/1")</f>
        <v>https://www.geeksforgeeks.org/problems/0-1-knapsack-problem0945/1</v>
      </c>
      <c r="E19" s="22" t="s">
        <v>14</v>
      </c>
      <c r="F19" s="38">
        <v>2023.0</v>
      </c>
      <c r="G19" s="39"/>
    </row>
    <row r="20" ht="31.5" customHeight="1">
      <c r="A20" s="22">
        <v>19.0</v>
      </c>
      <c r="B20" s="22" t="s">
        <v>1043</v>
      </c>
      <c r="C20" s="22" t="s">
        <v>13</v>
      </c>
      <c r="D20" s="37" t="str">
        <f>HYPERLINK("https://www.geeksforgeeks.org/maximum-size-sub-matrix-with-all-1s-in-a-binary-matrix/","https://www.geeksforgeeks.org/maximum-size-sub-matrix-with-all-1s-in-a-binary-matrix/")</f>
        <v>https://www.geeksforgeeks.org/maximum-size-sub-matrix-with-all-1s-in-a-binary-matrix/</v>
      </c>
      <c r="E20" s="22" t="s">
        <v>14</v>
      </c>
      <c r="F20" s="38">
        <v>2023.0</v>
      </c>
      <c r="G20" s="39"/>
    </row>
    <row r="21" ht="31.5" customHeight="1">
      <c r="A21" s="22">
        <v>20.0</v>
      </c>
      <c r="B21" s="22" t="s">
        <v>1046</v>
      </c>
      <c r="C21" s="22" t="s">
        <v>30</v>
      </c>
      <c r="D21" s="37" t="str">
        <f>HYPERLINK("https://leetcode.com/problems/reverse-linked-list/","https://leetcode.com/problems/reverse-linked-list/")</f>
        <v>https://leetcode.com/problems/reverse-linked-list/</v>
      </c>
      <c r="E21" s="22" t="s">
        <v>559</v>
      </c>
      <c r="F21" s="38">
        <v>2023.0</v>
      </c>
      <c r="G21" s="37" t="str">
        <f>HYPERLINK("https://www.youtube.com/watch?v=G0_I-ZF0S38","https://www.youtube.com/watch?v=G0_I-ZF0S38")</f>
        <v>https://www.youtube.com/watch?v=G0_I-ZF0S38</v>
      </c>
    </row>
    <row r="22" ht="31.5" customHeight="1">
      <c r="A22" s="22">
        <v>21.0</v>
      </c>
      <c r="B22" s="22" t="s">
        <v>1051</v>
      </c>
      <c r="C22" s="22" t="s">
        <v>30</v>
      </c>
      <c r="D22" s="37" t="str">
        <f>HYPERLINK("https://leetcode.com/problems/implement-stack-using-queues/","https://leetcode.com/problems/implement-stack-using-queues/")</f>
        <v>https://leetcode.com/problems/implement-stack-using-queues/</v>
      </c>
      <c r="E22" s="22" t="s">
        <v>559</v>
      </c>
      <c r="F22" s="38">
        <v>2023.0</v>
      </c>
      <c r="G22" s="37" t="str">
        <f>HYPERLINK("https://www.youtube.com/watch?v=rW4vm0-DLYc","https://www.youtube.com/watch?v=rW4vm0-DLYc")</f>
        <v>https://www.youtube.com/watch?v=rW4vm0-DLYc</v>
      </c>
    </row>
    <row r="23" ht="31.5" customHeight="1">
      <c r="A23" s="22">
        <v>22.0</v>
      </c>
      <c r="B23" s="22" t="s">
        <v>1058</v>
      </c>
      <c r="C23" s="22" t="s">
        <v>21</v>
      </c>
      <c r="D23" s="39"/>
      <c r="E23" s="22" t="s">
        <v>559</v>
      </c>
      <c r="F23" s="38">
        <v>2023.0</v>
      </c>
      <c r="G23" s="39"/>
    </row>
    <row r="24" ht="31.5" customHeight="1">
      <c r="A24" s="22">
        <v>23.0</v>
      </c>
      <c r="B24" s="22" t="s">
        <v>1061</v>
      </c>
      <c r="C24" s="22" t="s">
        <v>30</v>
      </c>
      <c r="D24" s="39"/>
      <c r="E24" s="22" t="s">
        <v>559</v>
      </c>
      <c r="F24" s="38">
        <v>2023.0</v>
      </c>
      <c r="G24" s="37" t="str">
        <f>HYPERLINK("https://www.youtube.com/watch?v=VmsTAVpz0xo","https://www.youtube.com/watch?v=VmsTAVpz0xo")</f>
        <v>https://www.youtube.com/watch?v=VmsTAVpz0xo</v>
      </c>
    </row>
    <row r="25" ht="31.5" customHeight="1">
      <c r="A25" s="22">
        <v>24.0</v>
      </c>
      <c r="B25" s="22" t="s">
        <v>1064</v>
      </c>
      <c r="C25" s="22" t="s">
        <v>30</v>
      </c>
      <c r="D25" s="37" t="str">
        <f>HYPERLINK("https://www.geeksforgeeks.org/java/g-fact-50/","https://www.geeksforgeeks.org/java/g-fact-50/")</f>
        <v>https://www.geeksforgeeks.org/java/g-fact-50/</v>
      </c>
      <c r="E25" s="22" t="s">
        <v>559</v>
      </c>
      <c r="F25" s="38">
        <v>2023.0</v>
      </c>
      <c r="G25" s="37" t="str">
        <f>HYPERLINK("https://www.youtube.com/watch?v=CKom3vDxdXs","https://www.youtube.com/watch?v=CKom3vDxdXs")</f>
        <v>https://www.youtube.com/watch?v=CKom3vDxdXs</v>
      </c>
    </row>
    <row r="26" ht="31.5" customHeight="1">
      <c r="A26" s="22">
        <v>25.0</v>
      </c>
      <c r="B26" s="22" t="s">
        <v>1069</v>
      </c>
      <c r="C26" s="22" t="s">
        <v>30</v>
      </c>
      <c r="D26" s="37" t="str">
        <f>HYPERLINK("https://www.geeksforgeeks.org/cpp/inheritance-in-c/","https://www.geeksforgeeks.org/cpp/inheritance-in-c/")</f>
        <v>https://www.geeksforgeeks.org/cpp/inheritance-in-c/</v>
      </c>
      <c r="E26" s="22" t="s">
        <v>559</v>
      </c>
      <c r="F26" s="38">
        <v>2023.0</v>
      </c>
      <c r="G26" s="37" t="str">
        <f>HYPERLINK("https://www.youtube.com/watch?v=Cn7AkDb4pIU","https://www.youtube.com/watch?v=Cn7AkDb4pIU")</f>
        <v>https://www.youtube.com/watch?v=Cn7AkDb4pIU</v>
      </c>
    </row>
    <row r="27" ht="31.5" customHeight="1">
      <c r="A27" s="22">
        <v>26.0</v>
      </c>
      <c r="B27" s="22" t="s">
        <v>1077</v>
      </c>
      <c r="C27" s="22" t="s">
        <v>30</v>
      </c>
      <c r="D27" s="37" t="str">
        <f>HYPERLINK("https://www.geeksforgeeks.org/dbms/difference-between-primary-key-and-foreign-key/","https://www.geeksforgeeks.org/dbms/difference-between-primary-key-and-foreign-key/")</f>
        <v>https://www.geeksforgeeks.org/dbms/difference-between-primary-key-and-foreign-key/</v>
      </c>
      <c r="E27" s="22" t="s">
        <v>559</v>
      </c>
      <c r="F27" s="38">
        <v>2023.0</v>
      </c>
      <c r="G27" s="37" t="str">
        <f>HYPERLINK("https://www.youtube.com/watch?v=MR0PK0qkCD8","https://www.youtube.com/watch?v=MR0PK0qkCD8")</f>
        <v>https://www.youtube.com/watch?v=MR0PK0qkCD8</v>
      </c>
    </row>
    <row r="28" ht="31.5" customHeight="1">
      <c r="A28" s="22">
        <v>27.0</v>
      </c>
      <c r="B28" s="22" t="s">
        <v>1083</v>
      </c>
      <c r="C28" s="22" t="s">
        <v>30</v>
      </c>
      <c r="D28" s="37" t="str">
        <f>HYPERLINK("https://www.geeksforgeeks.org/dbms/one-to-many-relationship-in-dbms/","https://www.geeksforgeeks.org/dbms/one-to-many-relationship-in-dbms/")</f>
        <v>https://www.geeksforgeeks.org/dbms/one-to-many-relationship-in-dbms/</v>
      </c>
      <c r="E28" s="22" t="s">
        <v>559</v>
      </c>
      <c r="F28" s="38">
        <v>2023.0</v>
      </c>
      <c r="G28" s="39"/>
    </row>
    <row r="29" ht="31.5" customHeight="1">
      <c r="A29" s="22">
        <v>28.0</v>
      </c>
      <c r="B29" s="22" t="s">
        <v>1088</v>
      </c>
      <c r="C29" s="22" t="s">
        <v>30</v>
      </c>
      <c r="D29" s="37" t="str">
        <f>HYPERLINK("https://www.geeksforgeeks.org/dbms/indexing-in-databases-set-1/","https://www.geeksforgeeks.org/dbms/indexing-in-databases-set-1/")</f>
        <v>https://www.geeksforgeeks.org/dbms/indexing-in-databases-set-1/</v>
      </c>
      <c r="E29" s="22" t="s">
        <v>559</v>
      </c>
      <c r="F29" s="38">
        <v>2023.0</v>
      </c>
      <c r="G29" s="37" t="str">
        <f>HYPERLINK("https://www.youtube.com/watch?v=BIlFTFrEFOI","https://www.youtube.com/watch?v=BIlFTFrEFOI")</f>
        <v>https://www.youtube.com/watch?v=BIlFTFrEFOI</v>
      </c>
    </row>
    <row r="30" ht="31.5" customHeight="1">
      <c r="A30" s="22">
        <v>29.0</v>
      </c>
      <c r="B30" s="22" t="s">
        <v>1095</v>
      </c>
      <c r="C30" s="22" t="s">
        <v>13</v>
      </c>
      <c r="D30" s="37" t="str">
        <f>HYPERLINK("https://www.ibm.com/think/topics/sql-vs-nosql","https://www.ibm.com/think/topics/sql-vs-nosql")</f>
        <v>https://www.ibm.com/think/topics/sql-vs-nosql</v>
      </c>
      <c r="E30" s="22" t="s">
        <v>559</v>
      </c>
      <c r="F30" s="38">
        <v>2023.0</v>
      </c>
      <c r="G30" s="39"/>
    </row>
    <row r="31" ht="31.5" customHeight="1">
      <c r="A31" s="22">
        <v>30.0</v>
      </c>
      <c r="B31" s="22" t="s">
        <v>1098</v>
      </c>
      <c r="C31" s="22" t="s">
        <v>30</v>
      </c>
      <c r="D31" s="37" t="str">
        <f>HYPERLINK("https://www.geeksforgeeks.org/dbms/difference-between-primary-key-and-foreign-key/","https://www.geeksforgeeks.org/dbms/difference-between-primary-key-and-foreign-key/")</f>
        <v>https://www.geeksforgeeks.org/dbms/difference-between-primary-key-and-foreign-key/</v>
      </c>
      <c r="E31" s="22" t="s">
        <v>559</v>
      </c>
      <c r="F31" s="38">
        <v>2023.0</v>
      </c>
      <c r="G31" s="37" t="str">
        <f>HYPERLINK("https://www.youtube.com/watch?v=DM2lAomoDrg","https://www.youtube.com/watch?v=DM2lAomoDrg")</f>
        <v>https://www.youtube.com/watch?v=DM2lAomoDrg</v>
      </c>
    </row>
    <row r="32" ht="31.5" customHeight="1">
      <c r="A32" s="22">
        <v>31.0</v>
      </c>
      <c r="B32" s="22" t="s">
        <v>1101</v>
      </c>
      <c r="C32" s="22" t="s">
        <v>30</v>
      </c>
      <c r="D32" s="37" t="str">
        <f>HYPERLINK("https://www.geeksforgeeks.org/sql/sql-trigger-student-database/","https://www.geeksforgeeks.org/sql/sql-trigger-student-database/")</f>
        <v>https://www.geeksforgeeks.org/sql/sql-trigger-student-database/</v>
      </c>
      <c r="E32" s="22" t="s">
        <v>559</v>
      </c>
      <c r="F32" s="38">
        <v>2023.0</v>
      </c>
      <c r="G32" s="37" t="str">
        <f>HYPERLINK("https://www.youtube.com/watch?v=f6VWSlnHGCE","https://www.youtube.com/watch?v=f6VWSlnHGCE")</f>
        <v>https://www.youtube.com/watch?v=f6VWSlnHGCE</v>
      </c>
    </row>
    <row r="33" ht="31.5" customHeight="1">
      <c r="A33" s="22">
        <v>32.0</v>
      </c>
      <c r="B33" s="22" t="s">
        <v>1106</v>
      </c>
      <c r="C33" s="22" t="s">
        <v>30</v>
      </c>
      <c r="D33" s="39"/>
      <c r="E33" s="22" t="s">
        <v>14</v>
      </c>
      <c r="F33" s="38">
        <v>2024.0</v>
      </c>
      <c r="G33" s="39"/>
    </row>
    <row r="34" ht="31.5" customHeight="1">
      <c r="A34" s="22">
        <v>33.0</v>
      </c>
      <c r="B34" s="22" t="s">
        <v>1107</v>
      </c>
      <c r="C34" s="22" t="s">
        <v>13</v>
      </c>
      <c r="D34" s="37" t="str">
        <f>HYPERLINK("https://leetcode.com/problems/maximum-number-of-alloys/","https://leetcode.com/problems/maximum-number-of-alloys/")</f>
        <v>https://leetcode.com/problems/maximum-number-of-alloys/</v>
      </c>
      <c r="E34" s="22" t="s">
        <v>14</v>
      </c>
      <c r="F34" s="38">
        <v>2024.0</v>
      </c>
      <c r="G34" s="39"/>
    </row>
    <row r="35" ht="31.5" customHeight="1">
      <c r="A35" s="22">
        <v>34.0</v>
      </c>
      <c r="B35" s="22" t="s">
        <v>1112</v>
      </c>
      <c r="C35" s="22" t="s">
        <v>30</v>
      </c>
      <c r="D35" s="39"/>
      <c r="E35" s="22" t="s">
        <v>559</v>
      </c>
      <c r="F35" s="38">
        <v>2024.0</v>
      </c>
      <c r="G35" s="39"/>
    </row>
    <row r="36" ht="31.5" customHeight="1">
      <c r="A36" s="22">
        <v>35.0</v>
      </c>
      <c r="B36" s="22" t="s">
        <v>1114</v>
      </c>
      <c r="C36" s="22" t="s">
        <v>30</v>
      </c>
      <c r="D36" s="37" t="str">
        <f>HYPERLINK("https://www.geeksforgeeks.org/detect-loop-in-a-linked-list/","https://www.geeksforgeeks.org/detect-loop-in-a-linked-list/")</f>
        <v>https://www.geeksforgeeks.org/detect-loop-in-a-linked-list/</v>
      </c>
      <c r="E36" s="22" t="s">
        <v>559</v>
      </c>
      <c r="F36" s="38">
        <v>2024.0</v>
      </c>
      <c r="G36" s="37" t="str">
        <f>HYPERLINK("https://www.youtube.com/watch?v=e-bvdcMhNxM","https://www.youtube.com/watch?v=e-bvdcMhNxM")</f>
        <v>https://www.youtube.com/watch?v=e-bvdcMhNxM</v>
      </c>
    </row>
    <row r="37" ht="31.5" customHeight="1">
      <c r="A37" s="22">
        <v>36.0</v>
      </c>
      <c r="B37" s="22" t="s">
        <v>1119</v>
      </c>
      <c r="C37" s="22" t="s">
        <v>30</v>
      </c>
      <c r="D37" s="39"/>
      <c r="E37" s="22" t="s">
        <v>559</v>
      </c>
      <c r="F37" s="38">
        <v>2024.0</v>
      </c>
      <c r="G37" s="37" t="str">
        <f>HYPERLINK("https://www.youtube.com/watch?v=mkKIIQUisO4","https://www.youtube.com/watch?v=mkKIIQUisO4")</f>
        <v>https://www.youtube.com/watch?v=mkKIIQUisO4</v>
      </c>
    </row>
    <row r="38" ht="31.5" customHeight="1">
      <c r="A38" s="22">
        <v>37.0</v>
      </c>
      <c r="B38" s="22" t="s">
        <v>1121</v>
      </c>
      <c r="C38" s="22" t="s">
        <v>30</v>
      </c>
      <c r="D38" s="39"/>
      <c r="E38" s="22" t="s">
        <v>559</v>
      </c>
      <c r="F38" s="38">
        <v>2024.0</v>
      </c>
      <c r="G38" s="39"/>
    </row>
    <row r="39" ht="31.5" customHeight="1">
      <c r="A39" s="22">
        <v>38.0</v>
      </c>
      <c r="B39" s="22" t="s">
        <v>1123</v>
      </c>
      <c r="C39" s="22" t="s">
        <v>13</v>
      </c>
      <c r="D39" s="37" t="str">
        <f>HYPERLINK("https://leetcode.com/problems/odd-string-difference/","https://leetcode.com/problems/odd-string-difference/")</f>
        <v>https://leetcode.com/problems/odd-string-difference/</v>
      </c>
      <c r="E39" s="22" t="s">
        <v>14</v>
      </c>
      <c r="F39" s="38">
        <v>2024.0</v>
      </c>
      <c r="G39" s="37" t="str">
        <f>HYPERLINK("https://www.youtube.com/watch?v=M2UkMvkRaII","https://www.youtube.com/watch?v=M2UkMvkRaII")</f>
        <v>https://www.youtube.com/watch?v=M2UkMvkRaII</v>
      </c>
    </row>
    <row r="40" ht="31.5" customHeight="1">
      <c r="A40" s="22">
        <v>39.0</v>
      </c>
      <c r="B40" s="22" t="s">
        <v>1125</v>
      </c>
      <c r="C40" s="22" t="s">
        <v>13</v>
      </c>
      <c r="D40" s="39"/>
      <c r="E40" s="22" t="s">
        <v>14</v>
      </c>
      <c r="F40" s="38">
        <v>2024.0</v>
      </c>
      <c r="G40" s="39"/>
    </row>
    <row r="41" ht="31.5" customHeight="1">
      <c r="A41" s="22">
        <v>40.0</v>
      </c>
      <c r="B41" s="22" t="s">
        <v>1126</v>
      </c>
      <c r="C41" s="22" t="s">
        <v>13</v>
      </c>
      <c r="D41" s="37" t="str">
        <f>HYPERLINK("https://leetcode.com/problems/odd-string-difference/","https://leetcode.com/problems/odd-string-difference/")</f>
        <v>https://leetcode.com/problems/odd-string-difference/</v>
      </c>
      <c r="E41" s="22" t="s">
        <v>559</v>
      </c>
      <c r="F41" s="38">
        <v>2024.0</v>
      </c>
      <c r="G41" s="37" t="str">
        <f>HYPERLINK("https://www.youtube.com/watch?v=P0E2INKN0e4","https://www.youtube.com/watch?v=P0E2INKN0e4")</f>
        <v>https://www.youtube.com/watch?v=P0E2INKN0e4</v>
      </c>
    </row>
    <row r="42" ht="31.5" customHeight="1">
      <c r="A42" s="22">
        <v>41.0</v>
      </c>
      <c r="B42" s="22" t="s">
        <v>1132</v>
      </c>
      <c r="C42" s="22" t="s">
        <v>13</v>
      </c>
      <c r="D42" s="39"/>
      <c r="E42" s="22" t="s">
        <v>559</v>
      </c>
      <c r="F42" s="38">
        <v>2024.0</v>
      </c>
      <c r="G42" s="39"/>
    </row>
    <row r="43" ht="31.5" customHeight="1">
      <c r="A43" s="22">
        <v>42.0</v>
      </c>
      <c r="B43" s="22" t="s">
        <v>1134</v>
      </c>
      <c r="C43" s="22" t="s">
        <v>30</v>
      </c>
      <c r="D43" s="39"/>
      <c r="E43" s="22" t="s">
        <v>14</v>
      </c>
      <c r="F43" s="38">
        <v>2026.0</v>
      </c>
      <c r="G43" s="39"/>
    </row>
    <row r="44" ht="31.5" customHeight="1">
      <c r="A44" s="22">
        <v>43.0</v>
      </c>
      <c r="B44" s="22" t="s">
        <v>1135</v>
      </c>
      <c r="C44" s="22" t="s">
        <v>13</v>
      </c>
      <c r="D44" s="39"/>
      <c r="E44" s="22" t="s">
        <v>14</v>
      </c>
      <c r="F44" s="38">
        <v>2026.0</v>
      </c>
      <c r="G44" s="39"/>
    </row>
    <row r="45" ht="31.5" customHeight="1">
      <c r="A45" s="22">
        <v>44.0</v>
      </c>
      <c r="B45" s="22" t="s">
        <v>1136</v>
      </c>
      <c r="C45" s="22" t="s">
        <v>13</v>
      </c>
      <c r="D45" s="39"/>
      <c r="E45" s="22" t="s">
        <v>14</v>
      </c>
      <c r="F45" s="38">
        <v>2026.0</v>
      </c>
      <c r="G45" s="39"/>
    </row>
    <row r="46" ht="31.5" customHeight="1">
      <c r="A46" s="22">
        <v>45.0</v>
      </c>
      <c r="B46" s="22" t="s">
        <v>1138</v>
      </c>
      <c r="C46" s="22" t="s">
        <v>30</v>
      </c>
      <c r="D46" s="39"/>
      <c r="E46" s="22" t="s">
        <v>14</v>
      </c>
      <c r="F46" s="38">
        <v>2026.0</v>
      </c>
      <c r="G46" s="39"/>
    </row>
    <row r="47" ht="31.5" customHeight="1">
      <c r="A47" s="22">
        <v>46.0</v>
      </c>
      <c r="B47" s="22" t="s">
        <v>307</v>
      </c>
      <c r="C47" s="22" t="s">
        <v>30</v>
      </c>
      <c r="D47" s="37" t="str">
        <f>HYPERLINK("https://leetcode.com/problems/reverse-string/","https://leetcode.com/problems/reverse-string/")</f>
        <v>https://leetcode.com/problems/reverse-string/</v>
      </c>
      <c r="E47" s="22" t="s">
        <v>559</v>
      </c>
      <c r="F47" s="38">
        <v>2026.0</v>
      </c>
      <c r="G47" s="37" t="str">
        <f>HYPERLINK("https://www.youtube.com/watch?v=_d0T_2Lk2qA","https://www.youtube.com/watch?v=_d0T_2Lk2qA")</f>
        <v>https://www.youtube.com/watch?v=_d0T_2Lk2qA</v>
      </c>
    </row>
    <row r="48" ht="31.5" customHeight="1">
      <c r="A48" s="22">
        <v>47.0</v>
      </c>
      <c r="B48" s="22" t="s">
        <v>1142</v>
      </c>
      <c r="C48" s="22" t="s">
        <v>13</v>
      </c>
      <c r="D48" s="39"/>
      <c r="E48" s="22" t="s">
        <v>559</v>
      </c>
      <c r="F48" s="38">
        <v>2026.0</v>
      </c>
      <c r="G48" s="39"/>
    </row>
    <row r="49" ht="31.5" customHeight="1">
      <c r="A49" s="22">
        <v>48.0</v>
      </c>
      <c r="B49" s="22" t="s">
        <v>1144</v>
      </c>
      <c r="C49" s="22" t="s">
        <v>30</v>
      </c>
      <c r="D49" s="39"/>
      <c r="E49" s="22" t="s">
        <v>14</v>
      </c>
      <c r="F49" s="38">
        <v>2027.0</v>
      </c>
      <c r="G49" s="39"/>
    </row>
    <row r="50" ht="31.5" customHeight="1">
      <c r="A50" s="22">
        <v>49.0</v>
      </c>
      <c r="B50" s="22" t="s">
        <v>1145</v>
      </c>
      <c r="C50" s="22" t="s">
        <v>30</v>
      </c>
      <c r="D50" s="39"/>
      <c r="E50" s="22" t="s">
        <v>14</v>
      </c>
      <c r="F50" s="38">
        <v>2027.0</v>
      </c>
      <c r="G50" s="39"/>
    </row>
    <row r="51" ht="31.5" customHeight="1">
      <c r="A51" s="22">
        <v>50.0</v>
      </c>
      <c r="B51" s="22" t="s">
        <v>1147</v>
      </c>
      <c r="C51" s="22" t="s">
        <v>13</v>
      </c>
      <c r="D51" s="39"/>
      <c r="E51" s="22" t="s">
        <v>14</v>
      </c>
      <c r="F51" s="38">
        <v>2027.0</v>
      </c>
      <c r="G51" s="39"/>
    </row>
    <row r="52" ht="31.5" customHeight="1">
      <c r="A52" s="22">
        <v>51.0</v>
      </c>
      <c r="B52" s="22" t="s">
        <v>1150</v>
      </c>
      <c r="C52" s="22" t="s">
        <v>13</v>
      </c>
      <c r="D52" s="39"/>
      <c r="E52" s="22" t="s">
        <v>14</v>
      </c>
      <c r="F52" s="38">
        <v>2027.0</v>
      </c>
      <c r="G52" s="39"/>
    </row>
    <row r="53" ht="31.5" customHeight="1">
      <c r="A53" s="22">
        <v>52.0</v>
      </c>
      <c r="B53" s="22" t="s">
        <v>1151</v>
      </c>
      <c r="C53" s="22" t="s">
        <v>30</v>
      </c>
      <c r="D53" s="37" t="str">
        <f>HYPERLINK("https://leetcode.com/problems/maximum-depth-of-binary-tree/","https://leetcode.com/problems/maximum-depth-of-binary-tree/")</f>
        <v>https://leetcode.com/problems/maximum-depth-of-binary-tree/</v>
      </c>
      <c r="E53" s="22" t="s">
        <v>559</v>
      </c>
      <c r="F53" s="38">
        <v>2027.0</v>
      </c>
      <c r="G53" s="39"/>
    </row>
    <row r="54" ht="31.5" customHeight="1">
      <c r="A54" s="22">
        <v>53.0</v>
      </c>
      <c r="B54" s="22" t="s">
        <v>1154</v>
      </c>
      <c r="C54" s="22" t="s">
        <v>30</v>
      </c>
      <c r="D54" s="37" t="str">
        <f>HYPERLINK("https://www.geeksforgeeks.org/dsa/difference-between-graph-and-tree/","https://www.geeksforgeeks.org/dsa/difference-between-graph-and-tree/")</f>
        <v>https://www.geeksforgeeks.org/dsa/difference-between-graph-and-tree/</v>
      </c>
      <c r="E54" s="22" t="s">
        <v>559</v>
      </c>
      <c r="F54" s="38">
        <v>2027.0</v>
      </c>
      <c r="G54" s="37" t="str">
        <f>HYPERLINK("https://www.youtube.com/watch?v=eOYQGAtgBjI","https://www.youtube.com/watch?v=eOYQGAtgBjI")</f>
        <v>https://www.youtube.com/watch?v=eOYQGAtgBjI</v>
      </c>
    </row>
    <row r="55" ht="31.5" customHeight="1">
      <c r="A55" s="22">
        <v>54.0</v>
      </c>
      <c r="B55" s="22" t="s">
        <v>1156</v>
      </c>
      <c r="C55" s="22" t="s">
        <v>30</v>
      </c>
      <c r="D55" s="39"/>
      <c r="E55" s="22" t="s">
        <v>559</v>
      </c>
      <c r="F55" s="38">
        <v>2027.0</v>
      </c>
      <c r="G55" s="39"/>
    </row>
    <row r="56" ht="31.5" customHeight="1">
      <c r="A56" s="22">
        <v>55.0</v>
      </c>
      <c r="B56" s="22" t="s">
        <v>1158</v>
      </c>
      <c r="C56" s="22" t="s">
        <v>30</v>
      </c>
      <c r="D56" s="37" t="str">
        <f>HYPERLINK("https://www.geeksforgeeks.org/dsa/deque-set-1-introduction-applications/","https://www.geeksforgeeks.org/dsa/deque-set-1-introduction-applications/")</f>
        <v>https://www.geeksforgeeks.org/dsa/deque-set-1-introduction-applications/</v>
      </c>
      <c r="E56" s="22" t="s">
        <v>559</v>
      </c>
      <c r="F56" s="38">
        <v>2023.0</v>
      </c>
      <c r="G56" s="39"/>
    </row>
    <row r="57" ht="31.5" customHeight="1">
      <c r="A57" s="22">
        <v>56.0</v>
      </c>
      <c r="B57" s="22" t="s">
        <v>1161</v>
      </c>
      <c r="C57" s="22" t="s">
        <v>30</v>
      </c>
      <c r="D57" s="37" t="str">
        <f>HYPERLINK("https://www.geeksforgeeks.org/sql/sql-trigger-student-database/","https://www.geeksforgeeks.org/sql/sql-trigger-student-database/")</f>
        <v>https://www.geeksforgeeks.org/sql/sql-trigger-student-database/</v>
      </c>
      <c r="E57" s="22" t="s">
        <v>559</v>
      </c>
      <c r="F57" s="38">
        <v>2023.0</v>
      </c>
      <c r="G57" s="37" t="str">
        <f>HYPERLINK("https://www.youtube.com/watch?v=f6VWSlnHGCE","https://www.youtube.com/watch?v=f6VWSlnHGCE")</f>
        <v>https://www.youtube.com/watch?v=f6VWSlnHGCE</v>
      </c>
    </row>
    <row r="58" ht="31.5" customHeight="1">
      <c r="A58" s="22">
        <v>57.0</v>
      </c>
      <c r="B58" s="22" t="s">
        <v>1166</v>
      </c>
      <c r="C58" s="22" t="s">
        <v>13</v>
      </c>
      <c r="D58" s="37" t="str">
        <f>HYPERLINK("https://www.geeksforgeeks.org/dbms/rdbms-full-form/","https://www.geeksforgeeks.org/dbms/rdbms-full-form/")</f>
        <v>https://www.geeksforgeeks.org/dbms/rdbms-full-form/</v>
      </c>
      <c r="E58" s="22" t="s">
        <v>559</v>
      </c>
      <c r="F58" s="38">
        <v>2023.0</v>
      </c>
      <c r="G58" s="37" t="str">
        <f>HYPERLINK("https://www.youtube.com/watch?v=kkeFE6iRfMM","https://www.youtube.com/watch?v=kkeFE6iRfMM")</f>
        <v>https://www.youtube.com/watch?v=kkeFE6iRfMM</v>
      </c>
    </row>
    <row r="59" ht="31.5" customHeight="1">
      <c r="A59" s="22">
        <v>58.0</v>
      </c>
      <c r="B59" s="22" t="s">
        <v>1172</v>
      </c>
      <c r="C59" s="22" t="s">
        <v>30</v>
      </c>
      <c r="D59" s="37" t="str">
        <f t="shared" ref="D59:D60" si="1">HYPERLINK("https://www.geeksforgeeks.org/dbms/introduction-of-database-normalization/","https://www.geeksforgeeks.org/dbms/introduction-of-database-normalization/")</f>
        <v>https://www.geeksforgeeks.org/dbms/introduction-of-database-normalization/</v>
      </c>
      <c r="E59" s="22" t="s">
        <v>559</v>
      </c>
      <c r="F59" s="38">
        <v>2026.0</v>
      </c>
      <c r="G59" s="37" t="str">
        <f>HYPERLINK("https://www.youtube.com/watch?v=IeSai2JVm78","https://www.youtube.com/watch?v=IeSai2JVm78")</f>
        <v>https://www.youtube.com/watch?v=IeSai2JVm78</v>
      </c>
    </row>
    <row r="60" ht="31.5" customHeight="1">
      <c r="A60" s="22">
        <v>59.0</v>
      </c>
      <c r="B60" s="22" t="s">
        <v>1178</v>
      </c>
      <c r="C60" s="22" t="s">
        <v>13</v>
      </c>
      <c r="D60" s="37" t="str">
        <f t="shared" si="1"/>
        <v>https://www.geeksforgeeks.org/dbms/introduction-of-database-normalization/</v>
      </c>
      <c r="E60" s="22" t="s">
        <v>559</v>
      </c>
      <c r="F60" s="38">
        <v>2026.0</v>
      </c>
      <c r="G60" s="37" t="str">
        <f>HYPERLINK("https://www.youtube.com/watch?v=mf_PbWPo7VM","https://www.youtube.com/watch?v=mf_PbWPo7VM")</f>
        <v>https://www.youtube.com/watch?v=mf_PbWPo7VM</v>
      </c>
    </row>
    <row r="61" ht="31.5" customHeight="1">
      <c r="A61" s="22">
        <v>60.0</v>
      </c>
      <c r="B61" s="22" t="s">
        <v>1181</v>
      </c>
      <c r="C61" s="22" t="s">
        <v>30</v>
      </c>
      <c r="D61" s="37" t="str">
        <f>HYPERLINK("https://www.geeksforgeeks.org/dbms/transitive-dependency-in-dbms/","https://www.geeksforgeeks.org/dbms/transitive-dependency-in-dbms/")</f>
        <v>https://www.geeksforgeeks.org/dbms/transitive-dependency-in-dbms/</v>
      </c>
      <c r="E61" s="22" t="s">
        <v>559</v>
      </c>
      <c r="F61" s="38">
        <v>2026.0</v>
      </c>
      <c r="G61" s="37" t="str">
        <f>HYPERLINK("https://www.youtube.com/watch?v=dR-jJimWWHA","https://www.youtube.com/watch?v=dR-jJimWWHA")</f>
        <v>https://www.youtube.com/watch?v=dR-jJimWWHA</v>
      </c>
    </row>
    <row r="62" ht="31.5" customHeight="1">
      <c r="A62" s="22">
        <v>61.0</v>
      </c>
      <c r="B62" s="22" t="s">
        <v>1188</v>
      </c>
      <c r="C62" s="22" t="s">
        <v>13</v>
      </c>
      <c r="D62" s="37" t="str">
        <f>HYPERLINK("https://www.geeksforgeeks.org/operating-systems/round-robin-scheduling-in-operating-system/","https://www.geeksforgeeks.org/operating-systems/round-robin-scheduling-in-operating-system/")</f>
        <v>https://www.geeksforgeeks.org/operating-systems/round-robin-scheduling-in-operating-system/</v>
      </c>
      <c r="E62" s="22" t="s">
        <v>559</v>
      </c>
      <c r="F62" s="38">
        <v>2026.0</v>
      </c>
      <c r="G62" s="39"/>
    </row>
    <row r="63" ht="31.5" customHeight="1">
      <c r="A63" s="22">
        <v>62.0</v>
      </c>
      <c r="B63" s="22" t="s">
        <v>1192</v>
      </c>
      <c r="C63" s="22" t="s">
        <v>13</v>
      </c>
      <c r="D63" s="37" t="str">
        <f>HYPERLINK("https://www.geeksforgeeks.org/dsa/floyd-warshall-algorithm-dp-16/","https://www.geeksforgeeks.org/dsa/floyd-warshall-algorithm-dp-16/")</f>
        <v>https://www.geeksforgeeks.org/dsa/floyd-warshall-algorithm-dp-16/</v>
      </c>
      <c r="E63" s="22" t="s">
        <v>559</v>
      </c>
      <c r="F63" s="38">
        <v>2027.0</v>
      </c>
      <c r="G63" s="37" t="str">
        <f>HYPERLINK("https://www.youtube.com/watch?v=oNI0rf2P9gE","https://www.youtube.com/watch?v=oNI0rf2P9gE")</f>
        <v>https://www.youtube.com/watch?v=oNI0rf2P9gE</v>
      </c>
    </row>
    <row r="64" ht="31.5" customHeight="1">
      <c r="A64" s="22">
        <v>63.0</v>
      </c>
      <c r="B64" s="22" t="s">
        <v>1196</v>
      </c>
      <c r="C64" s="22" t="s">
        <v>13</v>
      </c>
      <c r="D64" s="37" t="str">
        <f>HYPERLINK("https://www.geeksforgeeks.org/dbms/two-phase-locking-protocol/","https://www.geeksforgeeks.org/dbms/two-phase-locking-protocol/")</f>
        <v>https://www.geeksforgeeks.org/dbms/two-phase-locking-protocol/</v>
      </c>
      <c r="E64" s="22" t="s">
        <v>559</v>
      </c>
      <c r="F64" s="38">
        <v>2027.0</v>
      </c>
      <c r="G64" s="37" t="str">
        <f>HYPERLINK("https://www.youtube.com/watch?v=1pUaEDNLWi4","https://www.youtube.com/watch?v=1pUaEDNLWi4")</f>
        <v>https://www.youtube.com/watch?v=1pUaEDNLWi4</v>
      </c>
    </row>
    <row r="65" ht="31.5" customHeight="1">
      <c r="A65" s="22">
        <v>64.0</v>
      </c>
      <c r="B65" s="22" t="s">
        <v>1202</v>
      </c>
      <c r="C65" s="22" t="s">
        <v>13</v>
      </c>
      <c r="D65" s="37" t="str">
        <f>HYPERLINK("https://www.geeksforgeeks.org/dbms/indexing-in-databases-set-1/","https://www.geeksforgeeks.org/dbms/indexing-in-databases-set-1/")</f>
        <v>https://www.geeksforgeeks.org/dbms/indexing-in-databases-set-1/</v>
      </c>
      <c r="E65" s="22" t="s">
        <v>559</v>
      </c>
      <c r="F65" s="38">
        <v>2027.0</v>
      </c>
      <c r="G65" s="39"/>
    </row>
  </sheetData>
  <autoFilter ref="$A$1:$G$65"/>
  <dataValidations>
    <dataValidation type="list" allowBlank="1" showErrorMessage="1" sqref="C2:C65">
      <formula1>"Easy,Medium,Hard"</formula1>
    </dataValidation>
  </dataValidation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 ht="24.0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6</v>
      </c>
      <c r="G1" s="36" t="s">
        <v>526</v>
      </c>
    </row>
    <row r="2" ht="31.5" customHeight="1">
      <c r="A2" s="22">
        <v>1.0</v>
      </c>
      <c r="B2" s="22" t="s">
        <v>1022</v>
      </c>
      <c r="C2" s="22" t="s">
        <v>13</v>
      </c>
      <c r="D2" s="37" t="str">
        <f>HYPERLINK("https://www.geeksforgeeks.org/dsa/maximum-value-arri-arrj-j/","https://www.geeksforgeeks.org/dsa/maximum-value-arri-arrj-j/")</f>
        <v>https://www.geeksforgeeks.org/dsa/maximum-value-arri-arrj-j/</v>
      </c>
      <c r="E2" s="22" t="s">
        <v>1024</v>
      </c>
      <c r="F2" s="38">
        <v>2021.0</v>
      </c>
      <c r="G2" s="37" t="str">
        <f>HYPERLINK("https://www.youtube.com/watch?v=tN8wEDNZKF4","https://www.youtube.com/watch?v=tN8wEDNZKF4")</f>
        <v>https://www.youtube.com/watch?v=tN8wEDNZKF4</v>
      </c>
    </row>
    <row r="3" ht="31.5" customHeight="1">
      <c r="A3" s="22">
        <v>2.0</v>
      </c>
      <c r="B3" s="22" t="s">
        <v>1025</v>
      </c>
      <c r="C3" s="22" t="s">
        <v>13</v>
      </c>
      <c r="D3" s="37" t="str">
        <f>HYPERLINK("https://www.geeksforgeeks.org/dsa/rearrange-positive-and-negative-numbers/","https://www.geeksforgeeks.org/dsa/rearrange-positive-and-negative-numbers/")</f>
        <v>https://www.geeksforgeeks.org/dsa/rearrange-positive-and-negative-numbers/</v>
      </c>
      <c r="E3" s="22" t="s">
        <v>1027</v>
      </c>
      <c r="F3" s="38">
        <v>2021.0</v>
      </c>
      <c r="G3" s="39"/>
    </row>
    <row r="4" ht="31.5" customHeight="1">
      <c r="A4" s="22">
        <v>3.0</v>
      </c>
      <c r="B4" s="22" t="s">
        <v>1028</v>
      </c>
      <c r="C4" s="22" t="s">
        <v>30</v>
      </c>
      <c r="D4" s="37" t="str">
        <f>HYPERLINK("https://leetcode.com/problems/invert-binary-tree/","https://leetcode.com/problems/invert-binary-tree/")</f>
        <v>https://leetcode.com/problems/invert-binary-tree/</v>
      </c>
      <c r="E4" s="22" t="s">
        <v>1027</v>
      </c>
      <c r="F4" s="38">
        <v>2021.0</v>
      </c>
      <c r="G4" s="37" t="str">
        <f>HYPERLINK("https://www.youtube.com/watch?v=OnSn2XEQ4MY","https://www.youtube.com/watch?v=OnSn2XEQ4MY")</f>
        <v>https://www.youtube.com/watch?v=OnSn2XEQ4MY</v>
      </c>
    </row>
    <row r="5" ht="31.5" customHeight="1">
      <c r="A5" s="22">
        <v>4.0</v>
      </c>
      <c r="B5" s="22" t="s">
        <v>1030</v>
      </c>
      <c r="C5" s="22" t="s">
        <v>30</v>
      </c>
      <c r="D5" s="37" t="str">
        <f>HYPERLINK("https://dev.java/learn/inheritance/polymorphism/","https://dev.java/learn/inheritance/polymorphism/")</f>
        <v>https://dev.java/learn/inheritance/polymorphism/</v>
      </c>
      <c r="E5" s="22" t="s">
        <v>1033</v>
      </c>
      <c r="F5" s="38">
        <v>2021.0</v>
      </c>
      <c r="G5" s="37" t="str">
        <f>HYPERLINK("https://www.youtube.com/watch?v=6U-0aUBiO5A","https://www.youtube.com/watch?v=6U-0aUBiO5A")</f>
        <v>https://www.youtube.com/watch?v=6U-0aUBiO5A</v>
      </c>
    </row>
    <row r="6" ht="31.5" customHeight="1">
      <c r="A6" s="22">
        <v>5.0</v>
      </c>
      <c r="B6" s="22" t="s">
        <v>1035</v>
      </c>
      <c r="C6" s="22" t="s">
        <v>21</v>
      </c>
      <c r="D6" s="37" t="str">
        <f>HYPERLINK("https://www.geeksforgeeks.org/reverse-a-list-in-groups-of-given-size/","https://www.geeksforgeeks.org/reverse-a-list-in-groups-of-given-size/")</f>
        <v>https://www.geeksforgeeks.org/reverse-a-list-in-groups-of-given-size/</v>
      </c>
      <c r="E6" s="22" t="s">
        <v>1033</v>
      </c>
      <c r="F6" s="38">
        <v>2021.0</v>
      </c>
      <c r="G6" s="37" t="str">
        <f>HYPERLINK("https://www.youtube.com/watch?v=aF9PGkR0dWU","https://www.youtube.com/watch?v=aF9PGkR0dWU")</f>
        <v>https://www.youtube.com/watch?v=aF9PGkR0dWU</v>
      </c>
    </row>
    <row r="7" ht="31.5" customHeight="1">
      <c r="A7" s="22">
        <v>6.0</v>
      </c>
      <c r="B7" s="22" t="s">
        <v>1040</v>
      </c>
      <c r="C7" s="22" t="s">
        <v>30</v>
      </c>
      <c r="D7" s="37" t="str">
        <f>HYPERLINK("https://www.geeksforgeeks.org/merge-two-sorted-linked-lists/","https://www.geeksforgeeks.org/merge-two-sorted-linked-lists/")</f>
        <v>https://www.geeksforgeeks.org/merge-two-sorted-linked-lists/</v>
      </c>
      <c r="E7" s="22" t="s">
        <v>1033</v>
      </c>
      <c r="F7" s="38">
        <v>2021.0</v>
      </c>
      <c r="G7" s="37" t="str">
        <f>HYPERLINK("https://www.youtube.com/watch?v=XIdigk956u0","https://www.youtube.com/watch?v=XIdigk956u0")</f>
        <v>https://www.youtube.com/watch?v=XIdigk956u0</v>
      </c>
    </row>
    <row r="8" ht="31.5" customHeight="1">
      <c r="A8" s="22">
        <v>7.0</v>
      </c>
      <c r="B8" s="22" t="s">
        <v>1045</v>
      </c>
      <c r="C8" s="22" t="s">
        <v>30</v>
      </c>
      <c r="D8" s="37" t="str">
        <f>HYPERLINK("https://www.geeksforgeeks.org/depth-first-search-or-dfs-for-a-graph/","https://www.geeksforgeeks.org/depth-first-search-or-dfs-for-a-graph/")</f>
        <v>https://www.geeksforgeeks.org/depth-first-search-or-dfs-for-a-graph/</v>
      </c>
      <c r="E8" s="22" t="s">
        <v>1033</v>
      </c>
      <c r="F8" s="38">
        <v>2021.0</v>
      </c>
      <c r="G8" s="37" t="str">
        <f>HYPERLINK("https://www.youtube.com/watch?v=pcKY4hjDrxk","https://www.youtube.com/watch?v=pcKY4hjDrxk")</f>
        <v>https://www.youtube.com/watch?v=pcKY4hjDrxk</v>
      </c>
    </row>
    <row r="9" ht="31.5" customHeight="1">
      <c r="A9" s="22">
        <v>8.0</v>
      </c>
      <c r="B9" s="22" t="s">
        <v>1048</v>
      </c>
      <c r="C9" s="22" t="s">
        <v>30</v>
      </c>
      <c r="D9" s="37" t="str">
        <f>HYPERLINK("https://www.geeksforgeeks.org/dsa/prime-numbers/","https://www.geeksforgeeks.org/dsa/prime-numbers/")</f>
        <v>https://www.geeksforgeeks.org/dsa/prime-numbers/</v>
      </c>
      <c r="E9" s="22" t="s">
        <v>1050</v>
      </c>
      <c r="F9" s="38">
        <v>2022.0</v>
      </c>
      <c r="G9" s="37" t="str">
        <f>HYPERLINK("https://www.youtube.com/watch?v=C0Mjh5xQM4I","https://www.youtube.com/watch?v=C0Mjh5xQM4I")</f>
        <v>https://www.youtube.com/watch?v=C0Mjh5xQM4I</v>
      </c>
    </row>
    <row r="10" ht="31.5" customHeight="1">
      <c r="A10" s="22">
        <v>9.0</v>
      </c>
      <c r="B10" s="22" t="s">
        <v>1054</v>
      </c>
      <c r="C10" s="22" t="s">
        <v>21</v>
      </c>
      <c r="D10" s="37" t="str">
        <f>HYPERLINK("https://www.geeksforgeeks.org/dsa/find-maximum-path-sum-two-leaves-binary-tree/","https://www.geeksforgeeks.org/dsa/find-maximum-path-sum-two-leaves-binary-tree/")</f>
        <v>https://www.geeksforgeeks.org/dsa/find-maximum-path-sum-two-leaves-binary-tree/</v>
      </c>
      <c r="E10" s="22" t="s">
        <v>1050</v>
      </c>
      <c r="F10" s="38">
        <v>2022.0</v>
      </c>
      <c r="G10" s="37" t="str">
        <f>HYPERLINK("https://www.youtube.com/watch?v=3dVCRMw6Eyk","https://www.youtube.com/watch?v=3dVCRMw6Eyk")</f>
        <v>https://www.youtube.com/watch?v=3dVCRMw6Eyk</v>
      </c>
    </row>
    <row r="11" ht="31.5" customHeight="1">
      <c r="A11" s="22">
        <v>10.0</v>
      </c>
      <c r="B11" s="22" t="s">
        <v>1057</v>
      </c>
      <c r="C11" s="22" t="s">
        <v>13</v>
      </c>
      <c r="D11" s="37" t="str">
        <f>HYPERLINK("https://www.geeksforgeeks.org/dsa/maximum-length-chain-of-pairs-dp-20/","https://www.geeksforgeeks.org/dsa/maximum-length-chain-of-pairs-dp-20/")</f>
        <v>https://www.geeksforgeeks.org/dsa/maximum-length-chain-of-pairs-dp-20/</v>
      </c>
      <c r="E11" s="22" t="s">
        <v>1050</v>
      </c>
      <c r="F11" s="38">
        <v>2022.0</v>
      </c>
      <c r="G11" s="37" t="str">
        <f>HYPERLINK("https://www.youtube.com/watch?v=v-HIXptqM3Q","https://www.youtube.com/watch?v=v-HIXptqM3Q")</f>
        <v>https://www.youtube.com/watch?v=v-HIXptqM3Q</v>
      </c>
    </row>
    <row r="12" ht="31.5" customHeight="1">
      <c r="A12" s="22">
        <v>11.0</v>
      </c>
      <c r="B12" s="22" t="s">
        <v>1047</v>
      </c>
      <c r="C12" s="22" t="s">
        <v>13</v>
      </c>
      <c r="D12" s="37" t="str">
        <f>HYPERLINK("https://leetcode.com/problems/binary-tree-zigzag-level-order-traversal/","https://leetcode.com/problems/binary-tree-zigzag-level-order-traversal/")</f>
        <v>https://leetcode.com/problems/binary-tree-zigzag-level-order-traversal/</v>
      </c>
      <c r="E12" s="22" t="s">
        <v>1066</v>
      </c>
      <c r="F12" s="38">
        <v>2022.0</v>
      </c>
      <c r="G12" s="37" t="str">
        <f>HYPERLINK("https://www.youtube.com/watch?v=igbboQbiwqw","https://www.youtube.com/watch?v=igbboQbiwqw")</f>
        <v>https://www.youtube.com/watch?v=igbboQbiwqw</v>
      </c>
    </row>
    <row r="13" ht="31.5" customHeight="1">
      <c r="A13" s="22">
        <v>12.0</v>
      </c>
      <c r="B13" s="22" t="s">
        <v>1068</v>
      </c>
      <c r="C13" s="22" t="s">
        <v>30</v>
      </c>
      <c r="D13" s="37" t="str">
        <f>HYPERLINK("https://leetcode.com/problems/intersection-of-two-linked-lists/","https://leetcode.com/problems/intersection-of-two-linked-lists/")</f>
        <v>https://leetcode.com/problems/intersection-of-two-linked-lists/</v>
      </c>
      <c r="E13" s="22" t="s">
        <v>1066</v>
      </c>
      <c r="F13" s="38">
        <v>2022.0</v>
      </c>
      <c r="G13" s="37" t="str">
        <f>HYPERLINK("https://www.youtube.com/watch?v=D0X0BONOQhI","https://www.youtube.com/watch?v=D0X0BONOQhI")</f>
        <v>https://www.youtube.com/watch?v=D0X0BONOQhI</v>
      </c>
    </row>
    <row r="14" ht="31.5" customHeight="1">
      <c r="A14" s="22">
        <v>13.0</v>
      </c>
      <c r="B14" s="22" t="s">
        <v>1075</v>
      </c>
      <c r="C14" s="22" t="s">
        <v>13</v>
      </c>
      <c r="D14" s="37" t="str">
        <f>HYPERLINK("https://www.geeksforgeeks.org/dsa/convert-binary-tree-to-doubly-linked-list-using-inorder-traversal/","https://www.geeksforgeeks.org/dsa/convert-binary-tree-to-doubly-linked-list-using-inorder-traversal/")</f>
        <v>https://www.geeksforgeeks.org/dsa/convert-binary-tree-to-doubly-linked-list-using-inorder-traversal/</v>
      </c>
      <c r="E14" s="22" t="s">
        <v>1066</v>
      </c>
      <c r="F14" s="38">
        <v>2022.0</v>
      </c>
      <c r="G14" s="37" t="str">
        <f>HYPERLINK("https://www.youtube.com/watch?v=cgsGrbRPH6I","https://www.youtube.com/watch?v=cgsGrbRPH6I")</f>
        <v>https://www.youtube.com/watch?v=cgsGrbRPH6I</v>
      </c>
    </row>
    <row r="15" ht="31.5" customHeight="1">
      <c r="A15" s="22">
        <v>14.0</v>
      </c>
      <c r="B15" s="22" t="s">
        <v>1081</v>
      </c>
      <c r="C15" s="22" t="s">
        <v>21</v>
      </c>
      <c r="D15" s="37" t="str">
        <f>HYPERLINK("https://leetcode.com/problems/palindrome-pairs/","https://leetcode.com/problems/palindrome-pairs/")</f>
        <v>https://leetcode.com/problems/palindrome-pairs/</v>
      </c>
      <c r="E15" s="22" t="s">
        <v>1066</v>
      </c>
      <c r="F15" s="38">
        <v>2022.0</v>
      </c>
      <c r="G15" s="37" t="str">
        <f>HYPERLINK("https://www.youtube.com/watch?v=sa5fsVXd6AI","https://www.youtube.com/watch?v=sa5fsVXd6AI")</f>
        <v>https://www.youtube.com/watch?v=sa5fsVXd6AI</v>
      </c>
    </row>
    <row r="16" ht="31.5" customHeight="1">
      <c r="A16" s="22">
        <v>15.0</v>
      </c>
      <c r="B16" s="22" t="s">
        <v>1086</v>
      </c>
      <c r="C16" s="22" t="s">
        <v>30</v>
      </c>
      <c r="D16" s="39"/>
      <c r="E16" s="22" t="s">
        <v>1087</v>
      </c>
      <c r="F16" s="38">
        <v>2025.0</v>
      </c>
      <c r="G16" s="39"/>
    </row>
    <row r="17" ht="31.5" customHeight="1">
      <c r="A17" s="22">
        <v>16.0</v>
      </c>
      <c r="B17" s="22" t="s">
        <v>1089</v>
      </c>
      <c r="C17" s="22" t="s">
        <v>30</v>
      </c>
      <c r="D17" s="37" t="str">
        <f>HYPERLINK("https://www.geeksforgeeks.org/total-number-divisors-given-number/","https://www.geeksforgeeks.org/total-number-divisors-given-number/")</f>
        <v>https://www.geeksforgeeks.org/total-number-divisors-given-number/</v>
      </c>
      <c r="E17" s="22" t="s">
        <v>1087</v>
      </c>
      <c r="F17" s="38">
        <v>2025.0</v>
      </c>
      <c r="G17" s="37" t="str">
        <f>HYPERLINK("https://www.youtube.com/watch?v=Ae_Ag_saG9s","https://www.youtube.com/watch?v=Ae_Ag_saG9s")</f>
        <v>https://www.youtube.com/watch?v=Ae_Ag_saG9s</v>
      </c>
    </row>
    <row r="18" ht="31.5" customHeight="1">
      <c r="A18" s="22">
        <v>17.0</v>
      </c>
      <c r="B18" s="22" t="s">
        <v>1096</v>
      </c>
      <c r="C18" s="22" t="s">
        <v>13</v>
      </c>
      <c r="D18" s="37" t="str">
        <f>HYPERLINK("https://spring.io/guides/gs/accessing-data-rest/","https://spring.io/guides/gs/accessing-data-rest/")</f>
        <v>https://spring.io/guides/gs/accessing-data-rest/</v>
      </c>
      <c r="E18" s="22" t="s">
        <v>604</v>
      </c>
      <c r="F18" s="38">
        <v>2025.0</v>
      </c>
      <c r="G18" s="37" t="str">
        <f>HYPERLINK("https://www.youtube.com/watch?v=4Ico2HjRTCE","https://www.youtube.com/watch?v=4Ico2HjRTCE")</f>
        <v>https://www.youtube.com/watch?v=4Ico2HjRTCE</v>
      </c>
    </row>
    <row r="19" ht="31.5" customHeight="1">
      <c r="A19" s="22">
        <v>18.0</v>
      </c>
      <c r="B19" s="22" t="s">
        <v>513</v>
      </c>
      <c r="C19" s="22" t="s">
        <v>13</v>
      </c>
      <c r="D19" s="37" t="str">
        <f>HYPERLINK("https://leetcode.com/problems/group-anagrams/description/","https://leetcode.com/problems/group-anagrams/description/")</f>
        <v>https://leetcode.com/problems/group-anagrams/description/</v>
      </c>
      <c r="E19" s="22" t="s">
        <v>610</v>
      </c>
      <c r="F19" s="38">
        <v>2025.0</v>
      </c>
      <c r="G19" s="37" t="str">
        <f>HYPERLINK("https://www.youtube.com/watch?v=vzdNOK2oB2E","https://www.youtube.com/watch?v=vzdNOK2oB2E")</f>
        <v>https://www.youtube.com/watch?v=vzdNOK2oB2E</v>
      </c>
    </row>
    <row r="20" ht="31.5" customHeight="1">
      <c r="A20" s="22">
        <v>19.0</v>
      </c>
      <c r="B20" s="22" t="s">
        <v>1104</v>
      </c>
      <c r="C20" s="22" t="s">
        <v>13</v>
      </c>
      <c r="D20" s="37" t="str">
        <f>HYPERLINK("https://www.geeksforgeeks.org/dsa/maximum-sum-and-product-of-the-m-consecutive-digits-in-a-number/","https://www.geeksforgeeks.org/dsa/maximum-sum-and-product-of-the-m-consecutive-digits-in-a-number/")</f>
        <v>https://www.geeksforgeeks.org/dsa/maximum-sum-and-product-of-the-m-consecutive-digits-in-a-number/</v>
      </c>
      <c r="E20" s="22" t="s">
        <v>610</v>
      </c>
      <c r="F20" s="38">
        <v>2025.0</v>
      </c>
      <c r="G20" s="37" t="str">
        <f>HYPERLINK("https://www.youtube.com/watch?v=mZRdP55JofY","https://www.youtube.com/watch?v=mZRdP55JofY")</f>
        <v>https://www.youtube.com/watch?v=mZRdP55JofY</v>
      </c>
    </row>
    <row r="21" ht="31.5" customHeight="1">
      <c r="A21" s="22">
        <v>20.0</v>
      </c>
      <c r="B21" s="22" t="s">
        <v>1110</v>
      </c>
      <c r="C21" s="22" t="s">
        <v>13</v>
      </c>
      <c r="D21" s="37" t="str">
        <f>HYPERLINK("https://leetcode.com/problems/kth-smallest-element-in-a-bst/description/","https://leetcode.com/problems/kth-smallest-element-in-a-bst/description/")</f>
        <v>https://leetcode.com/problems/kth-smallest-element-in-a-bst/description/</v>
      </c>
      <c r="E21" s="22" t="s">
        <v>610</v>
      </c>
      <c r="F21" s="38">
        <v>2025.0</v>
      </c>
      <c r="G21" s="37" t="str">
        <f>HYPERLINK("https://www.youtube.com/watch?v=5LUXSvjmGCw","https://www.youtube.com/watch?v=5LUXSvjmGCw")</f>
        <v>https://www.youtube.com/watch?v=5LUXSvjmGCw</v>
      </c>
    </row>
  </sheetData>
  <autoFilter ref="$A$1:$G$21"/>
  <dataValidations>
    <dataValidation type="list" allowBlank="1" showErrorMessage="1" sqref="C2:C21">
      <formula1>"Easy,Medium,Hard"</formula1>
    </dataValidation>
  </dataValidation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 ht="24.0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6</v>
      </c>
      <c r="G1" s="36" t="s">
        <v>526</v>
      </c>
    </row>
    <row r="2" ht="31.5" customHeight="1">
      <c r="A2" s="22">
        <v>1.0</v>
      </c>
      <c r="B2" s="22" t="s">
        <v>1031</v>
      </c>
      <c r="C2" s="22" t="s">
        <v>13</v>
      </c>
      <c r="D2" s="39"/>
      <c r="E2" s="22" t="s">
        <v>14</v>
      </c>
      <c r="F2" s="38">
        <v>2021.0</v>
      </c>
      <c r="G2" s="39"/>
    </row>
    <row r="3" ht="31.5" customHeight="1">
      <c r="A3" s="22">
        <v>2.0</v>
      </c>
      <c r="B3" s="22" t="s">
        <v>1034</v>
      </c>
      <c r="C3" s="22" t="s">
        <v>13</v>
      </c>
      <c r="D3" s="37" t="str">
        <f>HYPERLINK("https://www.geeksforgeeks.org/dsa/auto-complete-feature-using-trie/","https://www.geeksforgeeks.org/dsa/auto-complete-feature-using-trie/")</f>
        <v>https://www.geeksforgeeks.org/dsa/auto-complete-feature-using-trie/</v>
      </c>
      <c r="E3" s="22" t="s">
        <v>559</v>
      </c>
      <c r="F3" s="38">
        <v>2021.0</v>
      </c>
      <c r="G3" s="39"/>
    </row>
    <row r="4" ht="31.5" customHeight="1">
      <c r="A4" s="22">
        <v>3.0</v>
      </c>
      <c r="B4" s="22" t="s">
        <v>1036</v>
      </c>
      <c r="C4" s="22" t="s">
        <v>13</v>
      </c>
      <c r="D4" s="39"/>
      <c r="E4" s="22" t="s">
        <v>559</v>
      </c>
      <c r="F4" s="38">
        <v>2021.0</v>
      </c>
      <c r="G4" s="39"/>
    </row>
    <row r="5" ht="31.5" customHeight="1">
      <c r="A5" s="22">
        <v>4.0</v>
      </c>
      <c r="B5" s="22" t="s">
        <v>1037</v>
      </c>
      <c r="C5" s="22" t="s">
        <v>13</v>
      </c>
      <c r="D5" s="39"/>
      <c r="E5" s="22" t="s">
        <v>559</v>
      </c>
      <c r="F5" s="38">
        <v>2021.0</v>
      </c>
      <c r="G5" s="39"/>
    </row>
    <row r="6" ht="31.5" customHeight="1">
      <c r="A6" s="22">
        <v>5.0</v>
      </c>
      <c r="B6" s="22" t="s">
        <v>1039</v>
      </c>
      <c r="C6" s="22" t="s">
        <v>13</v>
      </c>
      <c r="D6" s="39"/>
      <c r="E6" s="22" t="s">
        <v>559</v>
      </c>
      <c r="F6" s="38">
        <v>2021.0</v>
      </c>
      <c r="G6" s="39"/>
    </row>
    <row r="7" ht="31.5" customHeight="1">
      <c r="A7" s="22">
        <v>6.0</v>
      </c>
      <c r="B7" s="22" t="s">
        <v>1041</v>
      </c>
      <c r="C7" s="22" t="s">
        <v>30</v>
      </c>
      <c r="D7" s="39"/>
      <c r="E7" s="22" t="s">
        <v>559</v>
      </c>
      <c r="F7" s="38">
        <v>2021.0</v>
      </c>
      <c r="G7" s="39"/>
    </row>
    <row r="8" ht="31.5" customHeight="1">
      <c r="A8" s="22">
        <v>7.0</v>
      </c>
      <c r="B8" s="22" t="s">
        <v>1042</v>
      </c>
      <c r="C8" s="22" t="s">
        <v>13</v>
      </c>
      <c r="D8" s="37" t="str">
        <f>HYPERLINK("https://leetcode.com/problems/min-stack/","https://leetcode.com/problems/min-stack/")</f>
        <v>https://leetcode.com/problems/min-stack/</v>
      </c>
      <c r="E8" s="22" t="s">
        <v>559</v>
      </c>
      <c r="F8" s="38">
        <v>2021.0</v>
      </c>
      <c r="G8" s="39"/>
    </row>
    <row r="9" ht="31.5" customHeight="1">
      <c r="A9" s="22">
        <v>8.0</v>
      </c>
      <c r="B9" s="22" t="s">
        <v>1044</v>
      </c>
      <c r="C9" s="22" t="s">
        <v>13</v>
      </c>
      <c r="D9" s="37" t="str">
        <f>HYPERLINK("https://leetcode.com/problems/binary-tree-level-order-traversal/","https://leetcode.com/problems/binary-tree-level-order-traversal/")</f>
        <v>https://leetcode.com/problems/binary-tree-level-order-traversal/</v>
      </c>
      <c r="E9" s="22" t="s">
        <v>559</v>
      </c>
      <c r="F9" s="38">
        <v>2021.0</v>
      </c>
      <c r="G9" s="39"/>
    </row>
    <row r="10" ht="31.5" customHeight="1">
      <c r="A10" s="22">
        <v>9.0</v>
      </c>
      <c r="B10" s="22" t="s">
        <v>1047</v>
      </c>
      <c r="C10" s="22" t="s">
        <v>13</v>
      </c>
      <c r="D10" s="37" t="str">
        <f>HYPERLINK("https://leetcode.com/problems/binary-tree-zigzag-level-order-traversal/","https://leetcode.com/problems/binary-tree-zigzag-level-order-traversal/")</f>
        <v>https://leetcode.com/problems/binary-tree-zigzag-level-order-traversal/</v>
      </c>
      <c r="E10" s="22" t="s">
        <v>559</v>
      </c>
      <c r="F10" s="38">
        <v>2021.0</v>
      </c>
      <c r="G10" s="37" t="str">
        <f>HYPERLINK("https://www.youtube.com/watch?v=igbboQbiwqw","https://www.youtube.com/watch?v=igbboQbiwqw")</f>
        <v>https://www.youtube.com/watch?v=igbboQbiwqw</v>
      </c>
    </row>
    <row r="11" ht="31.5" customHeight="1">
      <c r="A11" s="22">
        <v>10.0</v>
      </c>
      <c r="B11" s="22" t="s">
        <v>1049</v>
      </c>
      <c r="C11" s="22" t="s">
        <v>21</v>
      </c>
      <c r="D11" s="39"/>
      <c r="E11" s="22" t="s">
        <v>559</v>
      </c>
      <c r="F11" s="38">
        <v>2021.0</v>
      </c>
      <c r="G11" s="39"/>
    </row>
    <row r="12" ht="31.5" customHeight="1">
      <c r="A12" s="22">
        <v>11.0</v>
      </c>
      <c r="B12" s="22" t="s">
        <v>1052</v>
      </c>
      <c r="C12" s="22" t="s">
        <v>13</v>
      </c>
      <c r="D12" s="39"/>
      <c r="E12" s="22" t="s">
        <v>559</v>
      </c>
      <c r="F12" s="38">
        <v>2021.0</v>
      </c>
      <c r="G12" s="39"/>
    </row>
    <row r="13" ht="31.5" customHeight="1">
      <c r="A13" s="22">
        <v>12.0</v>
      </c>
      <c r="B13" s="22" t="s">
        <v>1053</v>
      </c>
      <c r="C13" s="22" t="s">
        <v>30</v>
      </c>
      <c r="D13" s="39"/>
      <c r="E13" s="22" t="s">
        <v>559</v>
      </c>
      <c r="F13" s="38">
        <v>2021.0</v>
      </c>
      <c r="G13" s="39"/>
    </row>
    <row r="14" ht="31.5" customHeight="1">
      <c r="A14" s="22">
        <v>13.0</v>
      </c>
      <c r="B14" s="22" t="s">
        <v>1055</v>
      </c>
      <c r="C14" s="22" t="s">
        <v>21</v>
      </c>
      <c r="D14" s="39"/>
      <c r="E14" s="22" t="s">
        <v>559</v>
      </c>
      <c r="F14" s="38">
        <v>2021.0</v>
      </c>
      <c r="G14" s="39"/>
    </row>
    <row r="15" ht="31.5" customHeight="1">
      <c r="A15" s="22">
        <v>14.0</v>
      </c>
      <c r="B15" s="22" t="s">
        <v>1056</v>
      </c>
      <c r="C15" s="22" t="s">
        <v>21</v>
      </c>
      <c r="D15" s="39"/>
      <c r="E15" s="22" t="s">
        <v>559</v>
      </c>
      <c r="F15" s="38">
        <v>2021.0</v>
      </c>
      <c r="G15" s="39"/>
    </row>
    <row r="16" ht="31.5" customHeight="1">
      <c r="A16" s="22">
        <v>15.0</v>
      </c>
      <c r="B16" s="22" t="s">
        <v>1057</v>
      </c>
      <c r="C16" s="22" t="s">
        <v>13</v>
      </c>
      <c r="D16" s="37" t="str">
        <f>HYPERLINK("https://leetcode.com/problems/maximum-length-of-pair-chain/","https://leetcode.com/problems/maximum-length-of-pair-chain/")</f>
        <v>https://leetcode.com/problems/maximum-length-of-pair-chain/</v>
      </c>
      <c r="E16" s="22" t="s">
        <v>14</v>
      </c>
      <c r="F16" s="38">
        <v>2021.0</v>
      </c>
      <c r="G16" s="39"/>
    </row>
    <row r="17" ht="31.5" customHeight="1">
      <c r="A17" s="22">
        <v>16.0</v>
      </c>
      <c r="B17" s="22" t="s">
        <v>1060</v>
      </c>
      <c r="C17" s="22" t="s">
        <v>21</v>
      </c>
      <c r="D17" s="37" t="str">
        <f>HYPERLINK("https://www.geeksforgeeks.org/dsa/ford-fulkerson-algorithm-for-maximum-flow-problem/","https://www.geeksforgeeks.org/dsa/ford-fulkerson-algorithm-for-maximum-flow-problem/")</f>
        <v>https://www.geeksforgeeks.org/dsa/ford-fulkerson-algorithm-for-maximum-flow-problem/</v>
      </c>
      <c r="E17" s="22" t="s">
        <v>14</v>
      </c>
      <c r="F17" s="38">
        <v>2021.0</v>
      </c>
      <c r="G17" s="39"/>
    </row>
    <row r="18" ht="31.5" customHeight="1">
      <c r="A18" s="22">
        <v>17.0</v>
      </c>
      <c r="B18" s="22" t="s">
        <v>1063</v>
      </c>
      <c r="C18" s="22" t="s">
        <v>30</v>
      </c>
      <c r="D18" s="37" t="str">
        <f>HYPERLINK("https://leetcode.com/problems/binary-search/","https://leetcode.com/problems/binary-search/")</f>
        <v>https://leetcode.com/problems/binary-search/</v>
      </c>
      <c r="E18" s="22" t="s">
        <v>559</v>
      </c>
      <c r="F18" s="38">
        <v>2021.0</v>
      </c>
      <c r="G18" s="39"/>
    </row>
    <row r="19" ht="31.5" customHeight="1">
      <c r="A19" s="22">
        <v>18.0</v>
      </c>
      <c r="B19" s="22" t="s">
        <v>1065</v>
      </c>
      <c r="C19" s="22" t="s">
        <v>13</v>
      </c>
      <c r="D19" s="37" t="str">
        <f>HYPERLINK("https://www.geeksforgeeks.org/dsa/quick-sort-algorithm/","https://www.geeksforgeeks.org/dsa/quick-sort-algorithm/")</f>
        <v>https://www.geeksforgeeks.org/dsa/quick-sort-algorithm/</v>
      </c>
      <c r="E19" s="22" t="s">
        <v>559</v>
      </c>
      <c r="F19" s="38">
        <v>2021.0</v>
      </c>
      <c r="G19" s="39"/>
    </row>
    <row r="20" ht="31.5" customHeight="1">
      <c r="A20" s="22">
        <v>19.0</v>
      </c>
      <c r="B20" s="22" t="s">
        <v>1067</v>
      </c>
      <c r="C20" s="22" t="s">
        <v>13</v>
      </c>
      <c r="D20" s="37" t="str">
        <f>HYPERLINK("https://www.geeksforgeeks.org/dsa/kth-smallest-largest-element-in-unsorted-array/","https://www.geeksforgeeks.org/dsa/kth-smallest-largest-element-in-unsorted-array/")</f>
        <v>https://www.geeksforgeeks.org/dsa/kth-smallest-largest-element-in-unsorted-array/</v>
      </c>
      <c r="E20" s="22" t="s">
        <v>559</v>
      </c>
      <c r="F20" s="38">
        <v>2021.0</v>
      </c>
      <c r="G20" s="39"/>
    </row>
    <row r="21" ht="31.5" customHeight="1">
      <c r="A21" s="22">
        <v>20.0</v>
      </c>
      <c r="B21" s="22" t="s">
        <v>1070</v>
      </c>
      <c r="C21" s="22" t="s">
        <v>21</v>
      </c>
      <c r="D21" s="39"/>
      <c r="E21" s="22" t="s">
        <v>559</v>
      </c>
      <c r="F21" s="38">
        <v>2021.0</v>
      </c>
      <c r="G21" s="39"/>
    </row>
    <row r="22" ht="31.5" customHeight="1">
      <c r="A22" s="22">
        <v>21.0</v>
      </c>
      <c r="B22" s="22" t="s">
        <v>1071</v>
      </c>
      <c r="C22" s="22" t="s">
        <v>21</v>
      </c>
      <c r="D22" s="39"/>
      <c r="E22" s="22" t="s">
        <v>559</v>
      </c>
      <c r="F22" s="38">
        <v>2021.0</v>
      </c>
      <c r="G22" s="39"/>
    </row>
    <row r="23" ht="31.5" customHeight="1">
      <c r="A23" s="22">
        <v>22.0</v>
      </c>
      <c r="B23" s="22" t="s">
        <v>1072</v>
      </c>
      <c r="C23" s="22" t="s">
        <v>13</v>
      </c>
      <c r="D23" s="37" t="str">
        <f>HYPERLINK("https://www.geeksforgeeks.org/problems/maximum-meetings-in-one-room/1","https://www.geeksforgeeks.org/problems/maximum-meetings-in-one-room/1")</f>
        <v>https://www.geeksforgeeks.org/problems/maximum-meetings-in-one-room/1</v>
      </c>
      <c r="E23" s="22" t="s">
        <v>14</v>
      </c>
      <c r="F23" s="38">
        <v>2021.0</v>
      </c>
      <c r="G23" s="39"/>
    </row>
    <row r="24" ht="31.5" customHeight="1">
      <c r="A24" s="22">
        <v>23.0</v>
      </c>
      <c r="B24" s="22" t="s">
        <v>1074</v>
      </c>
      <c r="C24" s="22" t="s">
        <v>21</v>
      </c>
      <c r="D24" s="39"/>
      <c r="E24" s="22" t="s">
        <v>637</v>
      </c>
      <c r="F24" s="38">
        <v>2021.0</v>
      </c>
      <c r="G24" s="39"/>
    </row>
    <row r="25" ht="31.5" customHeight="1">
      <c r="A25" s="22">
        <v>24.0</v>
      </c>
      <c r="B25" s="22" t="s">
        <v>1076</v>
      </c>
      <c r="C25" s="22" t="s">
        <v>13</v>
      </c>
      <c r="D25" s="37" t="str">
        <f>HYPERLINK("https://www.geeksforgeeks.org/dsa/find-missing-point-parallelogram/","https://www.geeksforgeeks.org/dsa/find-missing-point-parallelogram/")</f>
        <v>https://www.geeksforgeeks.org/dsa/find-missing-point-parallelogram/</v>
      </c>
      <c r="E25" s="22" t="s">
        <v>14</v>
      </c>
      <c r="F25" s="38">
        <v>2023.0</v>
      </c>
      <c r="G25" s="39"/>
    </row>
    <row r="26" ht="31.5" customHeight="1">
      <c r="A26" s="22">
        <v>25.0</v>
      </c>
      <c r="B26" s="22" t="s">
        <v>1079</v>
      </c>
      <c r="C26" s="22" t="s">
        <v>13</v>
      </c>
      <c r="D26" s="39"/>
      <c r="E26" s="22" t="s">
        <v>14</v>
      </c>
      <c r="F26" s="38">
        <v>2023.0</v>
      </c>
      <c r="G26" s="39"/>
    </row>
    <row r="27" ht="31.5" customHeight="1">
      <c r="A27" s="22">
        <v>26.0</v>
      </c>
      <c r="B27" s="22" t="s">
        <v>1080</v>
      </c>
      <c r="C27" s="22" t="s">
        <v>30</v>
      </c>
      <c r="D27" s="37" t="str">
        <f>HYPERLINK("https://leetcode.com/problems/missing-number/","https://leetcode.com/problems/missing-number/")</f>
        <v>https://leetcode.com/problems/missing-number/</v>
      </c>
      <c r="E27" s="22" t="s">
        <v>559</v>
      </c>
      <c r="F27" s="38">
        <v>2023.0</v>
      </c>
      <c r="G27" s="39"/>
    </row>
    <row r="28" ht="31.5" customHeight="1">
      <c r="A28" s="22">
        <v>27.0</v>
      </c>
      <c r="B28" s="22" t="s">
        <v>1082</v>
      </c>
      <c r="C28" s="22" t="s">
        <v>13</v>
      </c>
      <c r="D28" s="37" t="str">
        <f>HYPERLINK("https://leetcode.com/problems/set-mismatch/","https://leetcode.com/problems/set-mismatch/")</f>
        <v>https://leetcode.com/problems/set-mismatch/</v>
      </c>
      <c r="E28" s="22" t="s">
        <v>559</v>
      </c>
      <c r="F28" s="38">
        <v>2023.0</v>
      </c>
      <c r="G28" s="39"/>
    </row>
    <row r="29" ht="31.5" customHeight="1">
      <c r="A29" s="22">
        <v>28.0</v>
      </c>
      <c r="B29" s="22" t="s">
        <v>1085</v>
      </c>
      <c r="C29" s="22" t="s">
        <v>13</v>
      </c>
      <c r="D29" s="37" t="str">
        <f>HYPERLINK("https://www.geeksforgeeks.org/dsa/find-duplicates-in-on-time-and-constant-extra-space/","https://www.geeksforgeeks.org/dsa/find-duplicates-in-on-time-and-constant-extra-space/")</f>
        <v>https://www.geeksforgeeks.org/dsa/find-duplicates-in-on-time-and-constant-extra-space/</v>
      </c>
      <c r="E29" s="22" t="s">
        <v>559</v>
      </c>
      <c r="F29" s="38">
        <v>2023.0</v>
      </c>
      <c r="G29" s="39"/>
    </row>
    <row r="30" ht="31.5" customHeight="1">
      <c r="A30" s="22">
        <v>29.0</v>
      </c>
      <c r="B30" s="22" t="s">
        <v>1091</v>
      </c>
      <c r="C30" s="22" t="s">
        <v>13</v>
      </c>
      <c r="D30" s="39"/>
      <c r="E30" s="22" t="s">
        <v>1092</v>
      </c>
      <c r="F30" s="38">
        <v>2023.0</v>
      </c>
      <c r="G30" s="39"/>
    </row>
    <row r="31" ht="31.5" customHeight="1">
      <c r="A31" s="22">
        <v>30.0</v>
      </c>
      <c r="B31" s="22" t="s">
        <v>1093</v>
      </c>
      <c r="C31" s="22" t="s">
        <v>13</v>
      </c>
      <c r="D31" s="39"/>
      <c r="E31" s="22" t="s">
        <v>1092</v>
      </c>
      <c r="F31" s="38">
        <v>2023.0</v>
      </c>
      <c r="G31" s="39"/>
    </row>
    <row r="32" ht="31.5" customHeight="1">
      <c r="A32" s="22">
        <v>31.0</v>
      </c>
      <c r="B32" s="22" t="s">
        <v>1094</v>
      </c>
      <c r="C32" s="22" t="s">
        <v>13</v>
      </c>
      <c r="D32" s="37" t="str">
        <f>HYPERLINK("https://www.geeksforgeeks.org/dsa/generate-all-binary-strings-from-given-pattern/","https://www.geeksforgeeks.org/dsa/generate-all-binary-strings-from-given-pattern/")</f>
        <v>https://www.geeksforgeeks.org/dsa/generate-all-binary-strings-from-given-pattern/</v>
      </c>
      <c r="E32" s="22" t="s">
        <v>14</v>
      </c>
      <c r="F32" s="38">
        <v>2023.0</v>
      </c>
      <c r="G32" s="39"/>
    </row>
    <row r="33" ht="31.5" customHeight="1">
      <c r="A33" s="22">
        <v>32.0</v>
      </c>
      <c r="B33" s="22" t="s">
        <v>1097</v>
      </c>
      <c r="C33" s="22" t="s">
        <v>13</v>
      </c>
      <c r="D33" s="37" t="str">
        <f>HYPERLINK("https://www.geeksforgeeks.org/dsa/josephus-problem/","https://www.geeksforgeeks.org/dsa/josephus-problem/")</f>
        <v>https://www.geeksforgeeks.org/dsa/josephus-problem/</v>
      </c>
      <c r="E33" s="22" t="s">
        <v>14</v>
      </c>
      <c r="F33" s="38">
        <v>2023.0</v>
      </c>
      <c r="G33" s="39"/>
    </row>
    <row r="34" ht="31.5" customHeight="1">
      <c r="A34" s="22">
        <v>33.0</v>
      </c>
      <c r="B34" s="22" t="s">
        <v>1099</v>
      </c>
      <c r="C34" s="22" t="s">
        <v>21</v>
      </c>
      <c r="D34" s="37" t="str">
        <f>HYPERLINK("https://leetcode.com/problems/integer-to-english-words/","https://leetcode.com/problems/integer-to-english-words/")</f>
        <v>https://leetcode.com/problems/integer-to-english-words/</v>
      </c>
      <c r="E34" s="22" t="s">
        <v>559</v>
      </c>
      <c r="F34" s="38">
        <v>2023.0</v>
      </c>
      <c r="G34" s="39"/>
    </row>
    <row r="35" ht="31.5" customHeight="1">
      <c r="A35" s="22">
        <v>34.0</v>
      </c>
      <c r="B35" s="22" t="s">
        <v>1100</v>
      </c>
      <c r="C35" s="22" t="s">
        <v>13</v>
      </c>
      <c r="D35" s="37" t="str">
        <f>HYPERLINK("https://www.geeksforgeeks.org/dsa/count-the-number-of-occurrences-of-a-digit-in-the-given-range/","https://www.geeksforgeeks.org/dsa/count-the-number-of-occurrences-of-a-digit-in-the-given-range/")</f>
        <v>https://www.geeksforgeeks.org/dsa/count-the-number-of-occurrences-of-a-digit-in-the-given-range/</v>
      </c>
      <c r="E35" s="22" t="s">
        <v>559</v>
      </c>
      <c r="F35" s="38">
        <v>2023.0</v>
      </c>
      <c r="G35" s="39"/>
    </row>
    <row r="36" ht="31.5" customHeight="1">
      <c r="A36" s="22">
        <v>35.0</v>
      </c>
      <c r="B36" s="22" t="s">
        <v>1102</v>
      </c>
      <c r="C36" s="22" t="s">
        <v>13</v>
      </c>
      <c r="D36" s="39"/>
      <c r="E36" s="22" t="s">
        <v>14</v>
      </c>
      <c r="F36" s="38">
        <v>2023.0</v>
      </c>
      <c r="G36" s="39"/>
    </row>
    <row r="37" ht="31.5" customHeight="1">
      <c r="A37" s="22">
        <v>36.0</v>
      </c>
      <c r="B37" s="22" t="s">
        <v>1103</v>
      </c>
      <c r="C37" s="22" t="s">
        <v>21</v>
      </c>
      <c r="D37" s="39"/>
      <c r="E37" s="22" t="s">
        <v>559</v>
      </c>
      <c r="F37" s="38">
        <v>2023.0</v>
      </c>
      <c r="G37" s="39"/>
    </row>
    <row r="38" ht="31.5" customHeight="1">
      <c r="A38" s="22">
        <v>37.0</v>
      </c>
      <c r="B38" s="22" t="s">
        <v>1105</v>
      </c>
      <c r="C38" s="22" t="s">
        <v>13</v>
      </c>
      <c r="D38" s="37" t="str">
        <f>HYPERLINK("https://www.geeksforgeeks.org/dsa/find-the-only-missing-number-in-a-sorted-array/","https://www.geeksforgeeks.org/dsa/find-the-only-missing-number-in-a-sorted-array/")</f>
        <v>https://www.geeksforgeeks.org/dsa/find-the-only-missing-number-in-a-sorted-array/</v>
      </c>
      <c r="E38" s="22" t="s">
        <v>559</v>
      </c>
      <c r="F38" s="38">
        <v>2023.0</v>
      </c>
      <c r="G38" s="39"/>
    </row>
    <row r="39" ht="31.5" customHeight="1">
      <c r="A39" s="22">
        <v>38.0</v>
      </c>
      <c r="B39" s="22" t="s">
        <v>757</v>
      </c>
      <c r="C39" s="22" t="s">
        <v>30</v>
      </c>
      <c r="D39" s="37" t="str">
        <f>HYPERLINK("https://www.geeksforgeeks.org/dsa/c-program-check-given-string-palindrome/","https://www.geeksforgeeks.org/dsa/c-program-check-given-string-palindrome/")</f>
        <v>https://www.geeksforgeeks.org/dsa/c-program-check-given-string-palindrome/</v>
      </c>
      <c r="E39" s="22" t="s">
        <v>1108</v>
      </c>
      <c r="F39" s="38">
        <v>2023.0</v>
      </c>
      <c r="G39" s="39"/>
    </row>
    <row r="40" ht="31.5" customHeight="1">
      <c r="A40" s="22">
        <v>39.0</v>
      </c>
      <c r="B40" s="22" t="s">
        <v>1109</v>
      </c>
      <c r="C40" s="22" t="s">
        <v>13</v>
      </c>
      <c r="D40" s="37" t="str">
        <f t="shared" ref="D40:D41" si="1">HYPERLINK("https://www.geeksforgeeks.org/dsa/merge-sort/","https://www.geeksforgeeks.org/dsa/merge-sort/")</f>
        <v>https://www.geeksforgeeks.org/dsa/merge-sort/</v>
      </c>
      <c r="E40" s="22" t="s">
        <v>1108</v>
      </c>
      <c r="F40" s="38">
        <v>2023.0</v>
      </c>
      <c r="G40" s="39"/>
    </row>
    <row r="41" ht="31.5" customHeight="1">
      <c r="A41" s="22">
        <v>40.0</v>
      </c>
      <c r="B41" s="22" t="s">
        <v>1111</v>
      </c>
      <c r="C41" s="22" t="s">
        <v>13</v>
      </c>
      <c r="D41" s="37" t="str">
        <f t="shared" si="1"/>
        <v>https://www.geeksforgeeks.org/dsa/merge-sort/</v>
      </c>
      <c r="E41" s="22" t="s">
        <v>559</v>
      </c>
      <c r="F41" s="38">
        <v>2024.0</v>
      </c>
      <c r="G41" s="39"/>
    </row>
    <row r="42" ht="31.5" customHeight="1">
      <c r="A42" s="22">
        <v>41.0</v>
      </c>
      <c r="B42" s="22" t="s">
        <v>1113</v>
      </c>
      <c r="C42" s="22" t="s">
        <v>21</v>
      </c>
      <c r="D42" s="39"/>
      <c r="E42" s="22" t="s">
        <v>559</v>
      </c>
      <c r="F42" s="38">
        <v>2024.0</v>
      </c>
      <c r="G42" s="39"/>
    </row>
    <row r="43" ht="31.5" customHeight="1">
      <c r="A43" s="22">
        <v>42.0</v>
      </c>
      <c r="B43" s="22" t="s">
        <v>1115</v>
      </c>
      <c r="C43" s="22" t="s">
        <v>30</v>
      </c>
      <c r="D43" s="37" t="str">
        <f>HYPERLINK("https://leetcode.com/problems/longest-common-prefix/","https://leetcode.com/problems/longest-common-prefix/")</f>
        <v>https://leetcode.com/problems/longest-common-prefix/</v>
      </c>
      <c r="E43" s="22" t="s">
        <v>14</v>
      </c>
      <c r="F43" s="38">
        <v>2025.0</v>
      </c>
      <c r="G43" s="39"/>
    </row>
    <row r="44" ht="31.5" customHeight="1">
      <c r="A44" s="22">
        <v>43.0</v>
      </c>
      <c r="B44" s="22" t="s">
        <v>1116</v>
      </c>
      <c r="C44" s="22" t="s">
        <v>30</v>
      </c>
      <c r="D44" s="39"/>
      <c r="E44" s="22" t="s">
        <v>14</v>
      </c>
      <c r="F44" s="38">
        <v>2025.0</v>
      </c>
      <c r="G44" s="39"/>
    </row>
    <row r="45" ht="31.5" customHeight="1">
      <c r="A45" s="22">
        <v>44.0</v>
      </c>
      <c r="B45" s="22" t="s">
        <v>1117</v>
      </c>
      <c r="C45" s="22" t="s">
        <v>13</v>
      </c>
      <c r="D45" s="39"/>
      <c r="E45" s="22" t="s">
        <v>14</v>
      </c>
      <c r="F45" s="38">
        <v>2025.0</v>
      </c>
      <c r="G45" s="39"/>
    </row>
    <row r="46" ht="31.5" customHeight="1">
      <c r="A46" s="22">
        <v>45.0</v>
      </c>
      <c r="B46" s="22" t="s">
        <v>1118</v>
      </c>
      <c r="C46" s="22" t="s">
        <v>13</v>
      </c>
      <c r="D46" s="39"/>
      <c r="E46" s="22" t="s">
        <v>559</v>
      </c>
      <c r="F46" s="38">
        <v>2025.0</v>
      </c>
      <c r="G46" s="39"/>
    </row>
    <row r="47" ht="31.5" customHeight="1">
      <c r="A47" s="22">
        <v>46.0</v>
      </c>
      <c r="B47" s="22" t="s">
        <v>1120</v>
      </c>
      <c r="C47" s="22" t="s">
        <v>13</v>
      </c>
      <c r="D47" s="37" t="str">
        <f>HYPERLINK("https://www.geeksforgeeks.org/dsa/sorting-algorithms/","https://www.geeksforgeeks.org/dsa/sorting-algorithms/")</f>
        <v>https://www.geeksforgeeks.org/dsa/sorting-algorithms/</v>
      </c>
      <c r="E47" s="22" t="s">
        <v>559</v>
      </c>
      <c r="F47" s="38">
        <v>2025.0</v>
      </c>
      <c r="G47" s="39"/>
    </row>
    <row r="48" ht="31.5" customHeight="1">
      <c r="A48" s="22">
        <v>47.0</v>
      </c>
      <c r="B48" s="22" t="s">
        <v>1122</v>
      </c>
      <c r="C48" s="22" t="s">
        <v>13</v>
      </c>
      <c r="D48" s="37" t="str">
        <f>HYPERLINK("https://www.geeksforgeeks.org/dsa/breadth-first-search-or-bfs-for-a-graph/","https://www.geeksforgeeks.org/dsa/breadth-first-search-or-bfs-for-a-graph/")</f>
        <v>https://www.geeksforgeeks.org/dsa/breadth-first-search-or-bfs-for-a-graph/</v>
      </c>
      <c r="E48" s="22" t="s">
        <v>559</v>
      </c>
      <c r="F48" s="38">
        <v>2025.0</v>
      </c>
      <c r="G48" s="39"/>
    </row>
    <row r="49" ht="31.5" customHeight="1">
      <c r="A49" s="22">
        <v>48.0</v>
      </c>
      <c r="B49" s="22" t="s">
        <v>1124</v>
      </c>
      <c r="C49" s="22" t="s">
        <v>13</v>
      </c>
      <c r="D49" s="37" t="str">
        <f>HYPERLINK("https://www.geeksforgeeks.org/dsa/difference-between-bfs-and-dfs/","https://www.geeksforgeeks.org/dsa/difference-between-bfs-and-dfs/")</f>
        <v>https://www.geeksforgeeks.org/dsa/difference-between-bfs-and-dfs/</v>
      </c>
      <c r="E49" s="22" t="s">
        <v>559</v>
      </c>
      <c r="F49" s="38">
        <v>2025.0</v>
      </c>
      <c r="G49" s="37" t="str">
        <f>HYPERLINK("https://www.youtube.com/watch?v=pcKY4hjDrxk","https://www.youtube.com/watch?v=pcKY4hjDrxk")</f>
        <v>https://www.youtube.com/watch?v=pcKY4hjDrxk</v>
      </c>
    </row>
    <row r="50" ht="31.5" customHeight="1">
      <c r="A50" s="22">
        <v>49.0</v>
      </c>
      <c r="B50" s="22" t="s">
        <v>1127</v>
      </c>
      <c r="C50" s="22" t="s">
        <v>21</v>
      </c>
      <c r="D50" s="39"/>
      <c r="E50" s="22" t="s">
        <v>559</v>
      </c>
      <c r="F50" s="38">
        <v>2025.0</v>
      </c>
      <c r="G50" s="39"/>
    </row>
    <row r="51" ht="31.5" customHeight="1">
      <c r="A51" s="22">
        <v>50.0</v>
      </c>
      <c r="B51" s="22" t="s">
        <v>1128</v>
      </c>
      <c r="C51" s="22" t="s">
        <v>21</v>
      </c>
      <c r="D51" s="39"/>
      <c r="E51" s="22" t="s">
        <v>559</v>
      </c>
      <c r="F51" s="38">
        <v>2025.0</v>
      </c>
      <c r="G51" s="39"/>
    </row>
    <row r="52" ht="31.5" customHeight="1">
      <c r="A52" s="22">
        <v>51.0</v>
      </c>
      <c r="B52" s="22" t="s">
        <v>1129</v>
      </c>
      <c r="C52" s="22" t="s">
        <v>30</v>
      </c>
      <c r="D52" s="37" t="str">
        <f>HYPERLINK("https://www.geeksforgeeks.org/dsa/count-consonants-string-iterative-recursive-methods/","https://www.geeksforgeeks.org/dsa/count-consonants-string-iterative-recursive-methods/")</f>
        <v>https://www.geeksforgeeks.org/dsa/count-consonants-string-iterative-recursive-methods/</v>
      </c>
      <c r="E52" s="22" t="s">
        <v>14</v>
      </c>
      <c r="F52" s="38">
        <v>2026.0</v>
      </c>
      <c r="G52" s="39"/>
    </row>
    <row r="53" ht="31.5" customHeight="1">
      <c r="A53" s="22">
        <v>52.0</v>
      </c>
      <c r="B53" s="22" t="s">
        <v>1130</v>
      </c>
      <c r="C53" s="22" t="s">
        <v>21</v>
      </c>
      <c r="D53" s="39"/>
      <c r="E53" s="22" t="s">
        <v>14</v>
      </c>
      <c r="F53" s="38">
        <v>2026.0</v>
      </c>
      <c r="G53" s="39"/>
    </row>
    <row r="54" ht="31.5" customHeight="1">
      <c r="A54" s="22">
        <v>53.0</v>
      </c>
      <c r="B54" s="22" t="s">
        <v>1131</v>
      </c>
      <c r="C54" s="22" t="s">
        <v>13</v>
      </c>
      <c r="D54" s="39"/>
      <c r="E54" s="22" t="s">
        <v>14</v>
      </c>
      <c r="F54" s="38">
        <v>2026.0</v>
      </c>
      <c r="G54" s="39"/>
    </row>
    <row r="55" ht="31.5" customHeight="1">
      <c r="A55" s="22">
        <v>54.0</v>
      </c>
      <c r="B55" s="22" t="s">
        <v>1133</v>
      </c>
      <c r="C55" s="22" t="s">
        <v>30</v>
      </c>
      <c r="D55" s="37" t="str">
        <f>HYPERLINK("https://www.geeksforgeeks.org/sql/sql-join-set-1-inner-left-right-and-full-joins/","https://www.geeksforgeeks.org/sql/sql-join-set-1-inner-left-right-and-full-joins/")</f>
        <v>https://www.geeksforgeeks.org/sql/sql-join-set-1-inner-left-right-and-full-joins/</v>
      </c>
      <c r="E55" s="22" t="s">
        <v>991</v>
      </c>
      <c r="F55" s="38">
        <v>2026.0</v>
      </c>
      <c r="G55" s="37" t="str">
        <f>HYPERLINK("https://www.youtube.com/watch?v=h4EQBAzW3m4","https://www.youtube.com/watch?v=h4EQBAzW3m4")</f>
        <v>https://www.youtube.com/watch?v=h4EQBAzW3m4</v>
      </c>
    </row>
    <row r="56" ht="31.5" customHeight="1">
      <c r="A56" s="22">
        <v>55.0</v>
      </c>
      <c r="B56" s="22" t="s">
        <v>1137</v>
      </c>
      <c r="C56" s="22" t="s">
        <v>21</v>
      </c>
      <c r="D56" s="39"/>
      <c r="E56" s="22" t="s">
        <v>559</v>
      </c>
      <c r="F56" s="38">
        <v>2026.0</v>
      </c>
      <c r="G56" s="39"/>
    </row>
    <row r="57" ht="31.5" customHeight="1">
      <c r="A57" s="22">
        <v>56.0</v>
      </c>
      <c r="B57" s="22" t="s">
        <v>307</v>
      </c>
      <c r="C57" s="22" t="s">
        <v>30</v>
      </c>
      <c r="D57" s="37" t="str">
        <f>HYPERLINK("https://leetcode.com/problems/reverse-string/","https://leetcode.com/problems/reverse-string/")</f>
        <v>https://leetcode.com/problems/reverse-string/</v>
      </c>
      <c r="E57" s="22" t="s">
        <v>559</v>
      </c>
      <c r="F57" s="38">
        <v>2026.0</v>
      </c>
      <c r="G57" s="37" t="str">
        <f>HYPERLINK("https://www.youtube.com/watch?v=_d0T_2Lk2qA","https://www.youtube.com/watch?v=_d0T_2Lk2qA")</f>
        <v>https://www.youtube.com/watch?v=_d0T_2Lk2qA</v>
      </c>
    </row>
    <row r="58" ht="31.5" customHeight="1">
      <c r="A58" s="22">
        <v>57.0</v>
      </c>
      <c r="B58" s="22" t="s">
        <v>1139</v>
      </c>
      <c r="C58" s="22" t="s">
        <v>30</v>
      </c>
      <c r="D58" s="37" t="str">
        <f>HYPERLINK("https://www.geeksforgeeks.org/cpp/encapsulation-in-cpp/","https://www.geeksforgeeks.org/cpp/encapsulation-in-cpp/")</f>
        <v>https://www.geeksforgeeks.org/cpp/encapsulation-in-cpp/</v>
      </c>
      <c r="E58" s="22" t="s">
        <v>559</v>
      </c>
      <c r="F58" s="38">
        <v>2026.0</v>
      </c>
      <c r="G58" s="37" t="str">
        <f>HYPERLINK("https://www.youtube.com/watch?v=GjLRL2zalpA","https://www.youtube.com/watch?v=GjLRL2zalpA")</f>
        <v>https://www.youtube.com/watch?v=GjLRL2zalpA</v>
      </c>
    </row>
    <row r="59" ht="31.5" customHeight="1">
      <c r="A59" s="22">
        <v>58.0</v>
      </c>
      <c r="B59" s="22" t="s">
        <v>1140</v>
      </c>
      <c r="C59" s="22" t="s">
        <v>30</v>
      </c>
      <c r="D59" s="37" t="str">
        <f>HYPERLINK("https://leetcode.com/problems/binary-search/","https://leetcode.com/problems/binary-search/")</f>
        <v>https://leetcode.com/problems/binary-search/</v>
      </c>
      <c r="E59" s="22" t="s">
        <v>559</v>
      </c>
      <c r="F59" s="38">
        <v>2026.0</v>
      </c>
      <c r="G59" s="39"/>
    </row>
    <row r="60" ht="31.5" customHeight="1">
      <c r="A60" s="22">
        <v>59.0</v>
      </c>
      <c r="B60" s="22" t="s">
        <v>1141</v>
      </c>
      <c r="C60" s="22" t="s">
        <v>13</v>
      </c>
      <c r="D60" s="37" t="str">
        <f>HYPERLINK("https://www.geeksforgeeks.org/dsa/merge-sort/","https://www.geeksforgeeks.org/dsa/merge-sort/")</f>
        <v>https://www.geeksforgeeks.org/dsa/merge-sort/</v>
      </c>
      <c r="E60" s="22" t="s">
        <v>559</v>
      </c>
      <c r="F60" s="38">
        <v>2026.0</v>
      </c>
      <c r="G60" s="39"/>
    </row>
    <row r="61" ht="31.5" customHeight="1">
      <c r="A61" s="22">
        <v>60.0</v>
      </c>
      <c r="B61" s="22" t="s">
        <v>1143</v>
      </c>
      <c r="C61" s="22" t="s">
        <v>13</v>
      </c>
      <c r="D61" s="37" t="str">
        <f>HYPERLINK("https://www.geeksforgeeks.org/dsa/quick-sort-algorithm/","https://www.geeksforgeeks.org/dsa/quick-sort-algorithm/")</f>
        <v>https://www.geeksforgeeks.org/dsa/quick-sort-algorithm/</v>
      </c>
      <c r="E61" s="22" t="s">
        <v>559</v>
      </c>
      <c r="F61" s="38">
        <v>2026.0</v>
      </c>
      <c r="G61" s="39"/>
    </row>
    <row r="62" ht="31.5" customHeight="1">
      <c r="A62" s="22">
        <v>61.0</v>
      </c>
      <c r="B62" s="22" t="s">
        <v>1146</v>
      </c>
      <c r="C62" s="22" t="s">
        <v>30</v>
      </c>
      <c r="D62" s="39"/>
      <c r="E62" s="22" t="s">
        <v>14</v>
      </c>
      <c r="F62" s="38">
        <v>2026.0</v>
      </c>
      <c r="G62" s="39"/>
    </row>
    <row r="63" ht="31.5" customHeight="1">
      <c r="A63" s="22">
        <v>62.0</v>
      </c>
      <c r="B63" s="22" t="s">
        <v>1148</v>
      </c>
      <c r="C63" s="22" t="s">
        <v>21</v>
      </c>
      <c r="D63" s="39"/>
      <c r="E63" s="22" t="s">
        <v>14</v>
      </c>
      <c r="F63" s="38">
        <v>2026.0</v>
      </c>
      <c r="G63" s="39"/>
    </row>
    <row r="64" ht="31.5" customHeight="1">
      <c r="A64" s="22">
        <v>63.0</v>
      </c>
      <c r="B64" s="22" t="s">
        <v>1149</v>
      </c>
      <c r="C64" s="22" t="s">
        <v>13</v>
      </c>
      <c r="D64" s="37" t="str">
        <f>HYPERLINK("https://www.geeksforgeeks.org/dsa/eulerian-path-and-circuit/","https://www.geeksforgeeks.org/dsa/eulerian-path-and-circuit/")</f>
        <v>https://www.geeksforgeeks.org/dsa/eulerian-path-and-circuit/</v>
      </c>
      <c r="E64" s="22" t="s">
        <v>14</v>
      </c>
      <c r="F64" s="38">
        <v>2026.0</v>
      </c>
      <c r="G64" s="39"/>
    </row>
    <row r="65" ht="31.5" customHeight="1">
      <c r="A65" s="22">
        <v>64.0</v>
      </c>
      <c r="B65" s="22" t="s">
        <v>1152</v>
      </c>
      <c r="C65" s="22" t="s">
        <v>30</v>
      </c>
      <c r="D65" s="37" t="str">
        <f>HYPERLINK("https://www.geeksforgeeks.org/sql/how-to-find-duplicate-values-in-sql/","https://www.geeksforgeeks.org/sql/how-to-find-duplicate-values-in-sql/")</f>
        <v>https://www.geeksforgeeks.org/sql/how-to-find-duplicate-values-in-sql/</v>
      </c>
      <c r="E65" s="22" t="s">
        <v>559</v>
      </c>
      <c r="F65" s="38">
        <v>2026.0</v>
      </c>
      <c r="G65" s="39"/>
    </row>
    <row r="66" ht="31.5" customHeight="1">
      <c r="A66" s="22">
        <v>65.0</v>
      </c>
      <c r="B66" s="22" t="s">
        <v>1153</v>
      </c>
      <c r="C66" s="22" t="s">
        <v>30</v>
      </c>
      <c r="D66" s="37" t="str">
        <f>HYPERLINK("https://leetcode.com/problems/remove-duplicates-from-sorted-array/","https://leetcode.com/problems/remove-duplicates-from-sorted-array/")</f>
        <v>https://leetcode.com/problems/remove-duplicates-from-sorted-array/</v>
      </c>
      <c r="E66" s="22" t="s">
        <v>559</v>
      </c>
      <c r="F66" s="38">
        <v>2026.0</v>
      </c>
      <c r="G66" s="39"/>
    </row>
    <row r="67" ht="31.5" customHeight="1">
      <c r="A67" s="22">
        <v>66.0</v>
      </c>
      <c r="B67" s="22" t="s">
        <v>1155</v>
      </c>
      <c r="C67" s="22" t="s">
        <v>13</v>
      </c>
      <c r="D67" s="37" t="str">
        <f>HYPERLINK("https://www.geeksforgeeks.org/dsa/area-of-intersection-of-two-circles/","https://www.geeksforgeeks.org/dsa/area-of-intersection-of-two-circles/")</f>
        <v>https://www.geeksforgeeks.org/dsa/area-of-intersection-of-two-circles/</v>
      </c>
      <c r="E67" s="22" t="s">
        <v>14</v>
      </c>
      <c r="F67" s="38">
        <v>2026.0</v>
      </c>
      <c r="G67" s="39"/>
    </row>
    <row r="68" ht="31.5" customHeight="1">
      <c r="A68" s="22">
        <v>67.0</v>
      </c>
      <c r="B68" s="22" t="s">
        <v>1157</v>
      </c>
      <c r="C68" s="22" t="s">
        <v>30</v>
      </c>
      <c r="D68" s="39"/>
      <c r="E68" s="22" t="s">
        <v>14</v>
      </c>
      <c r="F68" s="38">
        <v>2026.0</v>
      </c>
      <c r="G68" s="39"/>
    </row>
    <row r="69" ht="31.5" customHeight="1">
      <c r="A69" s="22">
        <v>68.0</v>
      </c>
      <c r="B69" s="22" t="s">
        <v>1159</v>
      </c>
      <c r="C69" s="22" t="s">
        <v>21</v>
      </c>
      <c r="D69" s="39"/>
      <c r="E69" s="22" t="s">
        <v>559</v>
      </c>
      <c r="F69" s="38">
        <v>2026.0</v>
      </c>
      <c r="G69" s="39"/>
    </row>
    <row r="70" ht="31.5" customHeight="1">
      <c r="A70" s="22">
        <v>69.0</v>
      </c>
      <c r="B70" s="22" t="s">
        <v>1160</v>
      </c>
      <c r="C70" s="22" t="s">
        <v>13</v>
      </c>
      <c r="D70" s="39"/>
      <c r="E70" s="22" t="s">
        <v>14</v>
      </c>
      <c r="F70" s="38">
        <v>2026.0</v>
      </c>
      <c r="G70" s="39"/>
    </row>
    <row r="71" ht="31.5" customHeight="1">
      <c r="A71" s="22">
        <v>70.0</v>
      </c>
      <c r="B71" s="22" t="s">
        <v>1162</v>
      </c>
      <c r="C71" s="22" t="s">
        <v>13</v>
      </c>
      <c r="D71" s="39"/>
      <c r="E71" s="22" t="s">
        <v>14</v>
      </c>
      <c r="F71" s="38">
        <v>2026.0</v>
      </c>
      <c r="G71" s="39"/>
    </row>
    <row r="72" ht="31.5" customHeight="1">
      <c r="A72" s="22">
        <v>71.0</v>
      </c>
      <c r="B72" s="22" t="s">
        <v>1163</v>
      </c>
      <c r="C72" s="22" t="s">
        <v>13</v>
      </c>
      <c r="D72" s="37" t="str">
        <f>HYPERLINK("https://www.geeksforgeeks.org/sql/group-by-and-having-clause-in-ms-sql/","https://www.geeksforgeeks.org/sql/group-by-and-having-clause-in-ms-sql/")</f>
        <v>https://www.geeksforgeeks.org/sql/group-by-and-having-clause-in-ms-sql/</v>
      </c>
      <c r="E72" s="22" t="s">
        <v>14</v>
      </c>
      <c r="F72" s="38">
        <v>2026.0</v>
      </c>
      <c r="G72" s="39"/>
    </row>
    <row r="73" ht="31.5" customHeight="1">
      <c r="A73" s="22">
        <v>72.0</v>
      </c>
      <c r="B73" s="22" t="s">
        <v>1167</v>
      </c>
      <c r="C73" s="22" t="s">
        <v>13</v>
      </c>
      <c r="D73" s="39"/>
      <c r="E73" s="22" t="s">
        <v>14</v>
      </c>
      <c r="F73" s="38">
        <v>2026.0</v>
      </c>
      <c r="G73" s="39"/>
    </row>
    <row r="74" ht="31.5" customHeight="1">
      <c r="A74" s="22">
        <v>73.0</v>
      </c>
      <c r="B74" s="22" t="s">
        <v>1168</v>
      </c>
      <c r="C74" s="22" t="s">
        <v>30</v>
      </c>
      <c r="D74" s="37" t="str">
        <f>HYPERLINK("https://leetcode.com/problems/count-vowel-substrings-of-a-string/","https://leetcode.com/problems/count-vowel-substrings-of-a-string/")</f>
        <v>https://leetcode.com/problems/count-vowel-substrings-of-a-string/</v>
      </c>
      <c r="E74" s="22" t="s">
        <v>14</v>
      </c>
      <c r="F74" s="38">
        <v>2026.0</v>
      </c>
      <c r="G74" s="39"/>
    </row>
    <row r="75" ht="31.5" customHeight="1">
      <c r="A75" s="22">
        <v>74.0</v>
      </c>
      <c r="B75" s="22" t="s">
        <v>1171</v>
      </c>
      <c r="C75" s="22" t="s">
        <v>13</v>
      </c>
      <c r="D75" s="39"/>
      <c r="E75" s="22" t="s">
        <v>14</v>
      </c>
      <c r="F75" s="38">
        <v>2026.0</v>
      </c>
      <c r="G75" s="39"/>
    </row>
    <row r="76" ht="31.5" customHeight="1">
      <c r="A76" s="22">
        <v>75.0</v>
      </c>
      <c r="B76" s="22" t="s">
        <v>1173</v>
      </c>
      <c r="C76" s="22" t="s">
        <v>13</v>
      </c>
      <c r="D76" s="39"/>
      <c r="E76" s="22" t="s">
        <v>559</v>
      </c>
      <c r="F76" s="38">
        <v>2026.0</v>
      </c>
      <c r="G76" s="39"/>
    </row>
    <row r="77" ht="31.5" customHeight="1">
      <c r="A77" s="22">
        <v>76.0</v>
      </c>
      <c r="B77" s="22" t="s">
        <v>1174</v>
      </c>
      <c r="C77" s="22" t="s">
        <v>21</v>
      </c>
      <c r="D77" s="39"/>
      <c r="E77" s="22" t="s">
        <v>559</v>
      </c>
      <c r="F77" s="38">
        <v>2026.0</v>
      </c>
      <c r="G77" s="39"/>
    </row>
    <row r="78" ht="31.5" customHeight="1">
      <c r="A78" s="22">
        <v>77.0</v>
      </c>
      <c r="B78" s="22" t="s">
        <v>1175</v>
      </c>
      <c r="C78" s="22" t="s">
        <v>30</v>
      </c>
      <c r="D78" s="37" t="str">
        <f>HYPERLINK("https://www.geeksforgeeks.org/dsa/program-find-frequency-each-element-array/","https://www.geeksforgeeks.org/dsa/program-find-frequency-each-element-array/")</f>
        <v>https://www.geeksforgeeks.org/dsa/program-find-frequency-each-element-array/</v>
      </c>
      <c r="E78" s="22" t="s">
        <v>14</v>
      </c>
      <c r="F78" s="38">
        <v>2026.0</v>
      </c>
      <c r="G78" s="39"/>
    </row>
    <row r="79" ht="31.5" customHeight="1">
      <c r="A79" s="22">
        <v>78.0</v>
      </c>
      <c r="B79" s="22" t="s">
        <v>1179</v>
      </c>
      <c r="C79" s="22" t="s">
        <v>30</v>
      </c>
      <c r="D79" s="39"/>
      <c r="E79" s="22" t="s">
        <v>14</v>
      </c>
      <c r="F79" s="38">
        <v>2026.0</v>
      </c>
      <c r="G79" s="39"/>
    </row>
    <row r="80" ht="31.5" customHeight="1">
      <c r="A80" s="22">
        <v>79.0</v>
      </c>
      <c r="B80" s="22" t="s">
        <v>1180</v>
      </c>
      <c r="C80" s="22" t="s">
        <v>21</v>
      </c>
      <c r="D80" s="37" t="str">
        <f>HYPERLINK("https://www.geeksforgeeks.org/dsa/hamiltonian-cycle/","https://www.geeksforgeeks.org/dsa/hamiltonian-cycle/")</f>
        <v>https://www.geeksforgeeks.org/dsa/hamiltonian-cycle/</v>
      </c>
      <c r="E80" s="22" t="s">
        <v>14</v>
      </c>
      <c r="F80" s="38">
        <v>2026.0</v>
      </c>
      <c r="G80" s="39"/>
    </row>
    <row r="81" ht="31.5" customHeight="1">
      <c r="A81" s="22">
        <v>80.0</v>
      </c>
      <c r="B81" s="22" t="s">
        <v>1183</v>
      </c>
      <c r="C81" s="22" t="s">
        <v>13</v>
      </c>
      <c r="D81" s="39"/>
      <c r="E81" s="22" t="s">
        <v>559</v>
      </c>
      <c r="F81" s="38">
        <v>2026.0</v>
      </c>
      <c r="G81" s="39"/>
    </row>
    <row r="82" ht="31.5" customHeight="1">
      <c r="A82" s="22">
        <v>81.0</v>
      </c>
      <c r="B82" s="22" t="s">
        <v>1185</v>
      </c>
      <c r="C82" s="22" t="s">
        <v>13</v>
      </c>
      <c r="D82" s="37" t="str">
        <f>HYPERLINK("https://www.geeksforgeeks.org/dsa/inorder-predecessor-successor-given-key-bst/","https://www.geeksforgeeks.org/dsa/inorder-predecessor-successor-given-key-bst/")</f>
        <v>https://www.geeksforgeeks.org/dsa/inorder-predecessor-successor-given-key-bst/</v>
      </c>
      <c r="E82" s="22" t="s">
        <v>559</v>
      </c>
      <c r="F82" s="38">
        <v>2026.0</v>
      </c>
      <c r="G82" s="39"/>
    </row>
    <row r="83" ht="31.5" customHeight="1">
      <c r="A83" s="22">
        <v>82.0</v>
      </c>
      <c r="B83" s="22" t="s">
        <v>1189</v>
      </c>
      <c r="C83" s="22" t="s">
        <v>30</v>
      </c>
      <c r="D83" s="37" t="str">
        <f>HYPERLINK("https://www.geeksforgeeks.org/sql/sql-order-by/","https://www.geeksforgeeks.org/sql/sql-order-by/")</f>
        <v>https://www.geeksforgeeks.org/sql/sql-order-by/</v>
      </c>
      <c r="E83" s="22" t="s">
        <v>559</v>
      </c>
      <c r="F83" s="38">
        <v>2026.0</v>
      </c>
      <c r="G83" s="39"/>
    </row>
    <row r="84" ht="31.5" customHeight="1">
      <c r="A84" s="22">
        <v>83.0</v>
      </c>
      <c r="B84" s="22" t="s">
        <v>538</v>
      </c>
      <c r="C84" s="22" t="s">
        <v>21</v>
      </c>
      <c r="D84" s="37" t="str">
        <f>HYPERLINK("https://www.geeksforgeeks.org/dsa/travelling-salesman-problem-using-dynamic-programming/","https://www.geeksforgeeks.org/dsa/travelling-salesman-problem-using-dynamic-programming/")</f>
        <v>https://www.geeksforgeeks.org/dsa/travelling-salesman-problem-using-dynamic-programming/</v>
      </c>
      <c r="E84" s="22" t="s">
        <v>14</v>
      </c>
      <c r="F84" s="38">
        <v>2027.0</v>
      </c>
      <c r="G84" s="39"/>
    </row>
    <row r="85" ht="31.5" customHeight="1">
      <c r="A85" s="22">
        <v>84.0</v>
      </c>
      <c r="B85" s="22" t="s">
        <v>1194</v>
      </c>
      <c r="C85" s="22" t="s">
        <v>13</v>
      </c>
      <c r="D85" s="37" t="str">
        <f>HYPERLINK("https://leetcode.com/problems/find-all-duplicates-in-an-array/","https://leetcode.com/problems/find-all-duplicates-in-an-array/")</f>
        <v>https://leetcode.com/problems/find-all-duplicates-in-an-array/</v>
      </c>
      <c r="E85" s="22" t="s">
        <v>14</v>
      </c>
      <c r="F85" s="38">
        <v>2027.0</v>
      </c>
      <c r="G85" s="39"/>
    </row>
    <row r="86" ht="31.5" customHeight="1">
      <c r="A86" s="22">
        <v>85.0</v>
      </c>
      <c r="B86" s="22" t="s">
        <v>1197</v>
      </c>
      <c r="C86" s="22" t="s">
        <v>13</v>
      </c>
      <c r="D86" s="39"/>
      <c r="E86" s="22" t="s">
        <v>14</v>
      </c>
      <c r="F86" s="38">
        <v>2027.0</v>
      </c>
      <c r="G86" s="39"/>
    </row>
    <row r="87" ht="31.5" customHeight="1">
      <c r="A87" s="22">
        <v>86.0</v>
      </c>
      <c r="B87" s="22" t="s">
        <v>1198</v>
      </c>
      <c r="C87" s="22" t="s">
        <v>30</v>
      </c>
      <c r="D87" s="37" t="str">
        <f>HYPERLINK("https://www.geeksforgeeks.org/dsa/doubly-linked-list/","https://www.geeksforgeeks.org/dsa/doubly-linked-list/")</f>
        <v>https://www.geeksforgeeks.org/dsa/doubly-linked-list/</v>
      </c>
      <c r="E87" s="22" t="s">
        <v>559</v>
      </c>
      <c r="F87" s="38">
        <v>2027.0</v>
      </c>
      <c r="G87" s="39"/>
    </row>
    <row r="88" ht="31.5" customHeight="1">
      <c r="A88" s="22">
        <v>87.0</v>
      </c>
      <c r="B88" s="22" t="s">
        <v>1200</v>
      </c>
      <c r="C88" s="22" t="s">
        <v>30</v>
      </c>
      <c r="D88" s="37" t="str">
        <f>HYPERLINK("https://www.geeksforgeeks.org/dsa/deque-set-1-introduction-applications/","https://www.geeksforgeeks.org/dsa/deque-set-1-introduction-applications/")</f>
        <v>https://www.geeksforgeeks.org/dsa/deque-set-1-introduction-applications/</v>
      </c>
      <c r="E88" s="22" t="s">
        <v>559</v>
      </c>
      <c r="F88" s="38">
        <v>2027.0</v>
      </c>
      <c r="G88" s="37" t="str">
        <f>HYPERLINK("https://www.youtube.com/watch?v=pqg0SOPRlJ4","https://www.youtube.com/watch?v=pqg0SOPRlJ4")</f>
        <v>https://www.youtube.com/watch?v=pqg0SOPRlJ4</v>
      </c>
    </row>
    <row r="89" ht="31.5" customHeight="1">
      <c r="A89" s="22">
        <v>88.0</v>
      </c>
      <c r="B89" s="22" t="s">
        <v>1205</v>
      </c>
      <c r="C89" s="22" t="s">
        <v>13</v>
      </c>
      <c r="D89" s="37" t="str">
        <f>HYPERLINK("https://www.geeksforgeeks.org/dsa/difference-between-bfs-and-dfs/","https://www.geeksforgeeks.org/dsa/difference-between-bfs-and-dfs/")</f>
        <v>https://www.geeksforgeeks.org/dsa/difference-between-bfs-and-dfs/</v>
      </c>
      <c r="E89" s="22" t="s">
        <v>559</v>
      </c>
      <c r="F89" s="38">
        <v>2027.0</v>
      </c>
      <c r="G89" s="37" t="str">
        <f>HYPERLINK("https://www.youtube.com/watch?v=pcKY4hjDrxk","https://www.youtube.com/watch?v=pcKY4hjDrxk")</f>
        <v>https://www.youtube.com/watch?v=pcKY4hjDrxk</v>
      </c>
    </row>
    <row r="90" ht="31.5" customHeight="1">
      <c r="A90" s="22">
        <v>89.0</v>
      </c>
      <c r="B90" s="22" t="s">
        <v>1207</v>
      </c>
      <c r="C90" s="22" t="s">
        <v>13</v>
      </c>
      <c r="D90" s="37" t="str">
        <f>HYPERLINK("https://www.geeksforgeeks.org/dsa/dijkstras-shortest-path-algorithm-greedy-algo-7/","https://www.geeksforgeeks.org/dsa/dijkstras-shortest-path-algorithm-greedy-algo-7/")</f>
        <v>https://www.geeksforgeeks.org/dsa/dijkstras-shortest-path-algorithm-greedy-algo-7/</v>
      </c>
      <c r="E90" s="22" t="s">
        <v>559</v>
      </c>
      <c r="F90" s="38">
        <v>2027.0</v>
      </c>
      <c r="G90" s="39"/>
    </row>
    <row r="91" ht="31.5" customHeight="1">
      <c r="A91" s="22">
        <v>90.0</v>
      </c>
      <c r="B91" s="22" t="s">
        <v>1209</v>
      </c>
      <c r="C91" s="22" t="s">
        <v>21</v>
      </c>
      <c r="D91" s="37" t="str">
        <f>HYPERLINK("https://www.geeksforgeeks.org/dsa/introduction-to-red-black-tree/","https://www.geeksforgeeks.org/dsa/introduction-to-red-black-tree/")</f>
        <v>https://www.geeksforgeeks.org/dsa/introduction-to-red-black-tree/</v>
      </c>
      <c r="E91" s="22" t="s">
        <v>559</v>
      </c>
      <c r="F91" s="38">
        <v>2027.0</v>
      </c>
      <c r="G91" s="39"/>
    </row>
    <row r="92" ht="31.5" customHeight="1">
      <c r="A92" s="22">
        <v>91.0</v>
      </c>
      <c r="B92" s="22" t="s">
        <v>1210</v>
      </c>
      <c r="C92" s="22" t="s">
        <v>13</v>
      </c>
      <c r="D92" s="37" t="str">
        <f>HYPERLINK("https://www.geeksforgeeks.org/dsa/minimum-cost-to-reach-a-point-n-from-0-with-two-different-operations-allowed/","https://www.geeksforgeeks.org/dsa/minimum-cost-to-reach-a-point-n-from-0-with-two-different-operations-allowed/")</f>
        <v>https://www.geeksforgeeks.org/dsa/minimum-cost-to-reach-a-point-n-from-0-with-two-different-operations-allowed/</v>
      </c>
      <c r="E92" s="22" t="s">
        <v>14</v>
      </c>
      <c r="F92" s="38">
        <v>2027.0</v>
      </c>
      <c r="G92" s="39"/>
    </row>
    <row r="93" ht="31.5" customHeight="1">
      <c r="A93" s="22">
        <v>92.0</v>
      </c>
      <c r="B93" s="22" t="s">
        <v>1212</v>
      </c>
      <c r="C93" s="22" t="s">
        <v>30</v>
      </c>
      <c r="D93" s="37" t="str">
        <f>HYPERLINK("https://www.geeksforgeeks.org/dsa/program-remove-vowels-string/","https://www.geeksforgeeks.org/dsa/program-remove-vowels-string/")</f>
        <v>https://www.geeksforgeeks.org/dsa/program-remove-vowels-string/</v>
      </c>
      <c r="E93" s="22" t="s">
        <v>14</v>
      </c>
      <c r="F93" s="38">
        <v>2027.0</v>
      </c>
      <c r="G93" s="39"/>
    </row>
    <row r="94" ht="31.5" customHeight="1">
      <c r="A94" s="22">
        <v>93.0</v>
      </c>
      <c r="B94" s="22" t="s">
        <v>1067</v>
      </c>
      <c r="C94" s="22" t="s">
        <v>13</v>
      </c>
      <c r="D94" s="37" t="str">
        <f>HYPERLINK("https://www.geeksforgeeks.org/dsa/kth-smallest-largest-element-in-unsorted-array/","https://www.geeksforgeeks.org/dsa/kth-smallest-largest-element-in-unsorted-array/")</f>
        <v>https://www.geeksforgeeks.org/dsa/kth-smallest-largest-element-in-unsorted-array/</v>
      </c>
      <c r="E94" s="22" t="s">
        <v>14</v>
      </c>
      <c r="F94" s="38">
        <v>2027.0</v>
      </c>
      <c r="G94" s="39"/>
    </row>
    <row r="95" ht="31.5" customHeight="1">
      <c r="A95" s="22">
        <v>94.0</v>
      </c>
      <c r="B95" s="22" t="s">
        <v>1215</v>
      </c>
      <c r="C95" s="22" t="s">
        <v>13</v>
      </c>
      <c r="D95" s="37" t="str">
        <f>HYPERLINK("https://www.geeksforgeeks.org/sql/sql-query-to-find-second-largest-salary/","https://www.geeksforgeeks.org/sql/sql-query-to-find-second-largest-salary/")</f>
        <v>https://www.geeksforgeeks.org/sql/sql-query-to-find-second-largest-salary/</v>
      </c>
      <c r="E95" s="22" t="s">
        <v>559</v>
      </c>
      <c r="F95" s="38">
        <v>2027.0</v>
      </c>
      <c r="G95" s="37" t="str">
        <f>HYPERLINK("https://www.youtube.com/watch?v=PN9wLmvq81o","https://www.youtube.com/watch?v=PN9wLmvq81o")</f>
        <v>https://www.youtube.com/watch?v=PN9wLmvq81o</v>
      </c>
    </row>
    <row r="96" ht="31.5" customHeight="1">
      <c r="A96" s="22">
        <v>95.0</v>
      </c>
      <c r="B96" s="22" t="s">
        <v>1216</v>
      </c>
      <c r="C96" s="22" t="s">
        <v>13</v>
      </c>
      <c r="D96" s="37" t="str">
        <f>HYPERLINK("https://www.geeksforgeeks.org/dsa/sorting-algorithms/","https://www.geeksforgeeks.org/dsa/sorting-algorithms/")</f>
        <v>https://www.geeksforgeeks.org/dsa/sorting-algorithms/</v>
      </c>
      <c r="E96" s="22" t="s">
        <v>559</v>
      </c>
      <c r="F96" s="38">
        <v>2027.0</v>
      </c>
      <c r="G96" s="39"/>
    </row>
    <row r="97" ht="31.5" customHeight="1">
      <c r="A97" s="22">
        <v>96.0</v>
      </c>
      <c r="B97" s="22" t="s">
        <v>1218</v>
      </c>
      <c r="C97" s="22" t="s">
        <v>30</v>
      </c>
      <c r="D97" s="37" t="str">
        <f>HYPERLINK("https://leetcode.com/problems/binary-search/","https://leetcode.com/problems/binary-search/")</f>
        <v>https://leetcode.com/problems/binary-search/</v>
      </c>
      <c r="E97" s="22" t="s">
        <v>559</v>
      </c>
      <c r="F97" s="38">
        <v>2027.0</v>
      </c>
      <c r="G97" s="39"/>
    </row>
    <row r="98" ht="31.5" customHeight="1">
      <c r="A98" s="22">
        <v>97.0</v>
      </c>
      <c r="B98" s="22" t="s">
        <v>1220</v>
      </c>
      <c r="C98" s="22" t="s">
        <v>21</v>
      </c>
      <c r="D98" s="37" t="str">
        <f>HYPERLINK("https://www.geeksforgeeks.org/dsa/prims-minimum-spanning-tree-mst-greedy-algo-5/","https://www.geeksforgeeks.org/dsa/prims-minimum-spanning-tree-mst-greedy-algo-5/")</f>
        <v>https://www.geeksforgeeks.org/dsa/prims-minimum-spanning-tree-mst-greedy-algo-5/</v>
      </c>
      <c r="E98" s="22" t="s">
        <v>14</v>
      </c>
      <c r="F98" s="38">
        <v>2027.0</v>
      </c>
      <c r="G98" s="39"/>
    </row>
    <row r="99" ht="31.5" customHeight="1">
      <c r="A99" s="22">
        <v>98.0</v>
      </c>
      <c r="B99" s="22" t="s">
        <v>1221</v>
      </c>
      <c r="C99" s="22" t="s">
        <v>30</v>
      </c>
      <c r="D99" s="37" t="str">
        <f>HYPERLINK("https://www.geeksforgeeks.org/dsa/count-positive-and-negative-elements-in-an-array/","https://www.geeksforgeeks.org/dsa/count-positive-and-negative-elements-in-an-array/")</f>
        <v>https://www.geeksforgeeks.org/dsa/count-positive-and-negative-elements-in-an-array/</v>
      </c>
      <c r="E99" s="22" t="s">
        <v>14</v>
      </c>
      <c r="F99" s="38">
        <v>2027.0</v>
      </c>
      <c r="G99" s="39"/>
    </row>
    <row r="100" ht="31.5" customHeight="1">
      <c r="A100" s="22">
        <v>99.0</v>
      </c>
      <c r="B100" s="22" t="s">
        <v>1222</v>
      </c>
      <c r="C100" s="22" t="s">
        <v>30</v>
      </c>
      <c r="D100" s="39"/>
      <c r="E100" s="22" t="s">
        <v>14</v>
      </c>
      <c r="F100" s="38">
        <v>2027.0</v>
      </c>
      <c r="G100" s="39"/>
    </row>
    <row r="101" ht="31.5" customHeight="1">
      <c r="A101" s="22">
        <v>100.0</v>
      </c>
      <c r="B101" s="22" t="s">
        <v>1223</v>
      </c>
      <c r="C101" s="22" t="s">
        <v>13</v>
      </c>
      <c r="D101" s="37" t="str">
        <f>HYPERLINK("https://owasp.org/www-community/attacks/SQL_Injection","https://owasp.org/www-community/attacks/SQL_Injection")</f>
        <v>https://owasp.org/www-community/attacks/SQL_Injection</v>
      </c>
      <c r="E101" s="22" t="s">
        <v>604</v>
      </c>
      <c r="F101" s="38">
        <v>2021.0</v>
      </c>
      <c r="G101" s="39"/>
    </row>
    <row r="102" ht="31.5" customHeight="1">
      <c r="A102" s="22">
        <v>101.0</v>
      </c>
      <c r="B102" s="22" t="s">
        <v>1224</v>
      </c>
      <c r="C102" s="22" t="s">
        <v>13</v>
      </c>
      <c r="D102" s="37" t="str">
        <f>HYPERLINK("https://www.geeksforgeeks.org/dsa/sorting-algorithms/","https://www.geeksforgeeks.org/dsa/sorting-algorithms/")</f>
        <v>https://www.geeksforgeeks.org/dsa/sorting-algorithms/</v>
      </c>
      <c r="E102" s="22" t="s">
        <v>991</v>
      </c>
      <c r="F102" s="38">
        <v>2025.0</v>
      </c>
      <c r="G102" s="39"/>
    </row>
    <row r="103" ht="31.5" customHeight="1">
      <c r="A103" s="22">
        <v>102.0</v>
      </c>
      <c r="B103" s="22" t="s">
        <v>1225</v>
      </c>
      <c r="C103" s="22" t="s">
        <v>30</v>
      </c>
      <c r="D103" s="39"/>
      <c r="E103" s="22" t="s">
        <v>991</v>
      </c>
      <c r="F103" s="38">
        <v>2025.0</v>
      </c>
      <c r="G103" s="39"/>
    </row>
    <row r="104" ht="31.5" customHeight="1">
      <c r="A104" s="22">
        <v>103.0</v>
      </c>
      <c r="B104" s="22" t="s">
        <v>1226</v>
      </c>
      <c r="C104" s="22" t="s">
        <v>13</v>
      </c>
      <c r="D104" s="37" t="str">
        <f>HYPERLINK("https://www.geeksforgeeks.org/dsa/searching-algorithms/","https://www.geeksforgeeks.org/dsa/searching-algorithms/")</f>
        <v>https://www.geeksforgeeks.org/dsa/searching-algorithms/</v>
      </c>
      <c r="E104" s="22" t="s">
        <v>991</v>
      </c>
      <c r="F104" s="38">
        <v>2026.0</v>
      </c>
      <c r="G104" s="39"/>
    </row>
    <row r="105" ht="31.5" customHeight="1">
      <c r="A105" s="22">
        <v>104.0</v>
      </c>
      <c r="B105" s="22" t="s">
        <v>1227</v>
      </c>
      <c r="C105" s="22" t="s">
        <v>13</v>
      </c>
      <c r="D105" s="37" t="str">
        <f>HYPERLINK("https://www.geeksforgeeks.org/dsa/sorting-algorithms/","https://www.geeksforgeeks.org/dsa/sorting-algorithms/")</f>
        <v>https://www.geeksforgeeks.org/dsa/sorting-algorithms/</v>
      </c>
      <c r="E105" s="22" t="s">
        <v>604</v>
      </c>
      <c r="F105" s="38">
        <v>2026.0</v>
      </c>
      <c r="G105" s="39"/>
    </row>
    <row r="106" ht="31.5" customHeight="1">
      <c r="A106" s="22">
        <v>105.0</v>
      </c>
      <c r="B106" s="22" t="s">
        <v>1228</v>
      </c>
      <c r="C106" s="22" t="s">
        <v>30</v>
      </c>
      <c r="D106" s="37" t="str">
        <f>HYPERLINK("https://www.geeksforgeeks.org/dsa/stack-data-structure/","https://www.geeksforgeeks.org/dsa/stack-data-structure/")</f>
        <v>https://www.geeksforgeeks.org/dsa/stack-data-structure/</v>
      </c>
      <c r="E106" s="22" t="s">
        <v>559</v>
      </c>
      <c r="F106" s="38">
        <v>2026.0</v>
      </c>
      <c r="G106" s="39"/>
    </row>
    <row r="107" ht="31.5" customHeight="1">
      <c r="A107" s="22">
        <v>106.0</v>
      </c>
      <c r="B107" s="22" t="s">
        <v>1229</v>
      </c>
      <c r="C107" s="22" t="s">
        <v>21</v>
      </c>
      <c r="D107" s="39"/>
      <c r="E107" s="22" t="s">
        <v>559</v>
      </c>
      <c r="F107" s="38">
        <v>2026.0</v>
      </c>
      <c r="G107" s="39"/>
    </row>
    <row r="108" ht="31.5" customHeight="1">
      <c r="A108" s="22">
        <v>107.0</v>
      </c>
      <c r="B108" s="22" t="s">
        <v>1230</v>
      </c>
      <c r="C108" s="22" t="s">
        <v>13</v>
      </c>
      <c r="D108" s="37" t="str">
        <f>HYPERLINK("https://www.geeksforgeeks.org/dsa/sorting-algorithms/","https://www.geeksforgeeks.org/dsa/sorting-algorithms/")</f>
        <v>https://www.geeksforgeeks.org/dsa/sorting-algorithms/</v>
      </c>
      <c r="E108" s="22" t="s">
        <v>991</v>
      </c>
      <c r="F108" s="38">
        <v>2026.0</v>
      </c>
      <c r="G108" s="39"/>
    </row>
    <row r="109" ht="31.5" customHeight="1">
      <c r="A109" s="22">
        <v>108.0</v>
      </c>
      <c r="B109" s="22" t="s">
        <v>1039</v>
      </c>
      <c r="C109" s="22" t="s">
        <v>13</v>
      </c>
      <c r="D109" s="39"/>
      <c r="E109" s="22" t="s">
        <v>637</v>
      </c>
      <c r="F109" s="38">
        <v>2021.0</v>
      </c>
      <c r="G109" s="39"/>
    </row>
    <row r="110" ht="31.5" customHeight="1">
      <c r="A110" s="22">
        <v>109.0</v>
      </c>
      <c r="B110" s="22" t="s">
        <v>1231</v>
      </c>
      <c r="C110" s="22" t="s">
        <v>13</v>
      </c>
      <c r="D110" s="39"/>
      <c r="E110" s="22" t="s">
        <v>637</v>
      </c>
      <c r="F110" s="38">
        <v>2021.0</v>
      </c>
      <c r="G110" s="39"/>
    </row>
    <row r="111" ht="31.5" customHeight="1">
      <c r="A111" s="22">
        <v>110.0</v>
      </c>
      <c r="B111" s="22" t="s">
        <v>1232</v>
      </c>
      <c r="C111" s="22" t="s">
        <v>13</v>
      </c>
      <c r="D111" s="37" t="str">
        <f>HYPERLINK("https://www.geeksforgeeks.org/sql/sql-join-set-1-inner-left-right-and-full-joins/","https://www.geeksforgeeks.org/sql/sql-join-set-1-inner-left-right-and-full-joins/")</f>
        <v>https://www.geeksforgeeks.org/sql/sql-join-set-1-inner-left-right-and-full-joins/</v>
      </c>
      <c r="E111" s="22" t="s">
        <v>991</v>
      </c>
      <c r="F111" s="38">
        <v>2026.0</v>
      </c>
      <c r="G111" s="37" t="str">
        <f>HYPERLINK("https://www.youtube.com/watch?v=h4EQBAzW3m4","https://www.youtube.com/watch?v=h4EQBAzW3m4")</f>
        <v>https://www.youtube.com/watch?v=h4EQBAzW3m4</v>
      </c>
    </row>
  </sheetData>
  <autoFilter ref="$A$1:$G$111"/>
  <dataValidations>
    <dataValidation type="list" allowBlank="1" showErrorMessage="1" sqref="C2:C111">
      <formula1>"Easy,Medium,Hard"</formula1>
    </dataValidation>
  </dataValidation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 ht="24.0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6</v>
      </c>
      <c r="G1" s="36" t="s">
        <v>526</v>
      </c>
    </row>
    <row r="2" ht="31.5" customHeight="1">
      <c r="A2" s="22">
        <v>1.0</v>
      </c>
      <c r="B2" s="22" t="s">
        <v>1059</v>
      </c>
      <c r="C2" s="22" t="s">
        <v>30</v>
      </c>
      <c r="D2" s="39"/>
      <c r="E2" s="22" t="s">
        <v>559</v>
      </c>
      <c r="F2" s="38">
        <v>2026.0</v>
      </c>
      <c r="G2" s="39"/>
    </row>
    <row r="3" ht="31.5" customHeight="1">
      <c r="A3" s="22">
        <v>2.0</v>
      </c>
      <c r="B3" s="22" t="s">
        <v>1062</v>
      </c>
      <c r="C3" s="22" t="s">
        <v>30</v>
      </c>
      <c r="D3" s="37" t="str">
        <f>HYPERLINK("https://leetcode.com/problems/remove-duplicates-from-sorted-list/","https://leetcode.com/problems/remove-duplicates-from-sorted-list/")</f>
        <v>https://leetcode.com/problems/remove-duplicates-from-sorted-list/</v>
      </c>
      <c r="E3" s="22" t="s">
        <v>559</v>
      </c>
      <c r="F3" s="38">
        <v>2026.0</v>
      </c>
      <c r="G3" s="37" t="str">
        <f>HYPERLINK("https://www.youtube.com/watch?v=irBmJbVarQg","https://www.youtube.com/watch?v=irBmJbVarQg")</f>
        <v>https://www.youtube.com/watch?v=irBmJbVarQg</v>
      </c>
    </row>
    <row r="4" ht="31.5" customHeight="1">
      <c r="A4" s="22">
        <v>3.0</v>
      </c>
      <c r="B4" s="22" t="s">
        <v>382</v>
      </c>
      <c r="C4" s="22" t="s">
        <v>30</v>
      </c>
      <c r="D4" s="37" t="str">
        <f>HYPERLINK("https://www.geeksforgeeks.org/dsa/find-second-largest-element-array/","https://www.geeksforgeeks.org/dsa/find-second-largest-element-array/")</f>
        <v>https://www.geeksforgeeks.org/dsa/find-second-largest-element-array/</v>
      </c>
      <c r="E4" s="22" t="s">
        <v>536</v>
      </c>
      <c r="F4" s="38">
        <v>2027.0</v>
      </c>
      <c r="G4" s="37" t="str">
        <f>HYPERLINK("https://www.youtube.com/watch?v=37E9ckMDdTk","https://www.youtube.com/watch?v=37E9ckMDdTk")</f>
        <v>https://www.youtube.com/watch?v=37E9ckMDdTk</v>
      </c>
    </row>
    <row r="5" ht="31.5" customHeight="1">
      <c r="A5" s="22">
        <v>4.0</v>
      </c>
      <c r="B5" s="22" t="s">
        <v>1073</v>
      </c>
      <c r="C5" s="22" t="s">
        <v>30</v>
      </c>
      <c r="D5" s="37" t="str">
        <f>HYPERLINK("https://www.geeksforgeeks.org/cpp/stdmax-in-cpp/","https://www.geeksforgeeks.org/cpp/stdmax-in-cpp/")</f>
        <v>https://www.geeksforgeeks.org/cpp/stdmax-in-cpp/</v>
      </c>
      <c r="E5" s="22" t="s">
        <v>536</v>
      </c>
      <c r="F5" s="38">
        <v>2027.0</v>
      </c>
      <c r="G5" s="39"/>
    </row>
    <row r="6" ht="31.5" customHeight="1">
      <c r="A6" s="22">
        <v>5.0</v>
      </c>
      <c r="B6" s="22" t="s">
        <v>1078</v>
      </c>
      <c r="C6" s="22" t="s">
        <v>13</v>
      </c>
      <c r="D6" s="37" t="str">
        <f>HYPERLINK("https://leetcode.com/problems/kth-largest-element-in-an-array/description/","https://leetcode.com/problems/kth-largest-element-in-an-array/description/")</f>
        <v>https://leetcode.com/problems/kth-largest-element-in-an-array/description/</v>
      </c>
      <c r="E6" s="22" t="s">
        <v>536</v>
      </c>
      <c r="F6" s="38">
        <v>2027.0</v>
      </c>
      <c r="G6" s="37" t="str">
        <f>HYPERLINK("https://www.youtube.com/watch?v=XEmy13g1Qxc","https://www.youtube.com/watch?v=XEmy13g1Qxc")</f>
        <v>https://www.youtube.com/watch?v=XEmy13g1Qxc</v>
      </c>
    </row>
    <row r="7" ht="31.5" customHeight="1">
      <c r="A7" s="22">
        <v>6.0</v>
      </c>
      <c r="B7" s="22" t="s">
        <v>1084</v>
      </c>
      <c r="C7" s="22" t="s">
        <v>30</v>
      </c>
      <c r="D7" s="37" t="str">
        <f>HYPERLINK("https://leetcode.com/problems/linked-list-cycle/description/","https://leetcode.com/problems/linked-list-cycle/description/")</f>
        <v>https://leetcode.com/problems/linked-list-cycle/description/</v>
      </c>
      <c r="E7" s="22" t="s">
        <v>539</v>
      </c>
      <c r="F7" s="38">
        <v>2027.0</v>
      </c>
      <c r="G7" s="37" t="str">
        <f>HYPERLINK("https://www.youtube.com/watch?v=gBTe7lFR3vc","https://www.youtube.com/watch?v=gBTe7lFR3vc")</f>
        <v>https://www.youtube.com/watch?v=gBTe7lFR3vc</v>
      </c>
    </row>
    <row r="8" ht="31.5" customHeight="1">
      <c r="A8" s="22">
        <v>7.0</v>
      </c>
      <c r="B8" s="22" t="s">
        <v>1090</v>
      </c>
      <c r="C8" s="22" t="s">
        <v>13</v>
      </c>
      <c r="D8" s="37" t="str">
        <f>HYPERLINK("https://leetcode.com/problems/reverse-words-in-a-string/description/","https://leetcode.com/problems/reverse-words-in-a-string/description/")</f>
        <v>https://leetcode.com/problems/reverse-words-in-a-string/description/</v>
      </c>
      <c r="E8" s="22" t="s">
        <v>539</v>
      </c>
      <c r="F8" s="38">
        <v>2027.0</v>
      </c>
      <c r="G8" s="37" t="str">
        <f>HYPERLINK("https://www.youtube.com/watch?v=vhnRAaJybpA","https://www.youtube.com/watch?v=vhnRAaJybpA")</f>
        <v>https://www.youtube.com/watch?v=vhnRAaJybpA</v>
      </c>
    </row>
  </sheetData>
  <autoFilter ref="$A$1:$G$8"/>
  <dataValidations>
    <dataValidation type="list" allowBlank="1" showErrorMessage="1" sqref="C2:C8">
      <formula1>"Easy,Medium,Hard"</formula1>
    </dataValidation>
  </dataValidation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 ht="24.0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6</v>
      </c>
      <c r="G1" s="36" t="s">
        <v>526</v>
      </c>
    </row>
    <row r="2" ht="31.5" customHeight="1">
      <c r="A2" s="22">
        <v>1.0</v>
      </c>
      <c r="B2" s="22" t="s">
        <v>1165</v>
      </c>
      <c r="C2" s="22" t="s">
        <v>30</v>
      </c>
      <c r="D2" s="39"/>
      <c r="E2" s="22" t="s">
        <v>14</v>
      </c>
      <c r="F2" s="38">
        <v>2026.0</v>
      </c>
      <c r="G2" s="39"/>
    </row>
    <row r="3" ht="31.5" customHeight="1">
      <c r="A3" s="22">
        <v>2.0</v>
      </c>
      <c r="B3" s="22" t="s">
        <v>1169</v>
      </c>
      <c r="C3" s="22" t="s">
        <v>13</v>
      </c>
      <c r="D3" s="39"/>
      <c r="E3" s="22" t="s">
        <v>14</v>
      </c>
      <c r="F3" s="38">
        <v>2026.0</v>
      </c>
      <c r="G3" s="39"/>
    </row>
    <row r="4" ht="31.5" customHeight="1">
      <c r="A4" s="22">
        <v>3.0</v>
      </c>
      <c r="B4" s="22" t="s">
        <v>1170</v>
      </c>
      <c r="C4" s="22" t="s">
        <v>13</v>
      </c>
      <c r="D4" s="37" t="str">
        <f>HYPERLINK("https://leetcode.com/problems/maximum-subarray/","https://leetcode.com/problems/maximum-subarray/")</f>
        <v>https://leetcode.com/problems/maximum-subarray/</v>
      </c>
      <c r="E4" s="22" t="s">
        <v>627</v>
      </c>
      <c r="F4" s="38">
        <v>2026.0</v>
      </c>
      <c r="G4" s="37" t="str">
        <f>HYPERLINK("https://www.youtube.com/watch?v=AHZpyENo7k4","https://www.youtube.com/watch?v=AHZpyENo7k4")</f>
        <v>https://www.youtube.com/watch?v=AHZpyENo7k4</v>
      </c>
    </row>
    <row r="5" ht="31.5" customHeight="1">
      <c r="A5" s="22">
        <v>4.0</v>
      </c>
      <c r="B5" s="22" t="s">
        <v>1177</v>
      </c>
      <c r="C5" s="22" t="s">
        <v>13</v>
      </c>
      <c r="D5" s="37" t="str">
        <f>HYPERLINK("https://docs.oracle.com/en/java/javase/21/docs/api/java.base/java/lang/Thread.html","https://docs.oracle.com/en/java/javase/21/docs/api/java.base/java/lang/Thread.html")</f>
        <v>https://docs.oracle.com/en/java/javase/21/docs/api/java.base/java/lang/Thread.html</v>
      </c>
      <c r="E5" s="22" t="s">
        <v>627</v>
      </c>
      <c r="F5" s="38">
        <v>2026.0</v>
      </c>
      <c r="G5" s="39"/>
    </row>
    <row r="6" ht="31.5" customHeight="1">
      <c r="A6" s="22">
        <v>5.0</v>
      </c>
      <c r="B6" s="22" t="s">
        <v>1184</v>
      </c>
      <c r="C6" s="22" t="s">
        <v>13</v>
      </c>
      <c r="D6" s="37" t="str">
        <f>HYPERLINK("https://docs.oracle.com/en/java/javase/21/docs/api/java.base/java/util/Arrays.html","https://docs.oracle.com/en/java/javase/21/docs/api/java.base/java/util/Arrays.html")</f>
        <v>https://docs.oracle.com/en/java/javase/21/docs/api/java.base/java/util/Arrays.html</v>
      </c>
      <c r="E6" s="22" t="s">
        <v>627</v>
      </c>
      <c r="F6" s="38">
        <v>2026.0</v>
      </c>
      <c r="G6" s="39"/>
    </row>
    <row r="7" ht="31.5" customHeight="1">
      <c r="A7" s="22">
        <v>6.0</v>
      </c>
      <c r="B7" s="22" t="s">
        <v>1187</v>
      </c>
      <c r="C7" s="22" t="s">
        <v>30</v>
      </c>
      <c r="D7" s="37" t="str">
        <f>HYPERLINK("https://docs.oracle.com/en/java/javase/21/docs/api/java.base/java/lang/Thread.html","https://docs.oracle.com/en/java/javase/21/docs/api/java.base/java/lang/Thread.html")</f>
        <v>https://docs.oracle.com/en/java/javase/21/docs/api/java.base/java/lang/Thread.html</v>
      </c>
      <c r="E7" s="22" t="s">
        <v>627</v>
      </c>
      <c r="F7" s="38">
        <v>2026.0</v>
      </c>
      <c r="G7" s="39"/>
    </row>
    <row r="8" ht="31.5" customHeight="1">
      <c r="A8" s="22">
        <v>7.0</v>
      </c>
      <c r="B8" s="22" t="s">
        <v>1191</v>
      </c>
      <c r="C8" s="22" t="s">
        <v>30</v>
      </c>
      <c r="D8" s="37" t="str">
        <f>HYPERLINK("https://docs.oracle.com/javase/tutorial/collections/interfaces/map.html","https://docs.oracle.com/javase/tutorial/collections/interfaces/map.html")</f>
        <v>https://docs.oracle.com/javase/tutorial/collections/interfaces/map.html</v>
      </c>
      <c r="E8" s="22" t="s">
        <v>627</v>
      </c>
      <c r="F8" s="38">
        <v>2026.0</v>
      </c>
      <c r="G8" s="39"/>
    </row>
    <row r="9" ht="31.5" customHeight="1">
      <c r="A9" s="22">
        <v>8.0</v>
      </c>
      <c r="B9" s="22" t="s">
        <v>1193</v>
      </c>
      <c r="C9" s="22" t="s">
        <v>13</v>
      </c>
      <c r="D9" s="37" t="str">
        <f>HYPERLINK("https://docs.oracle.com/en/java/javase/21/docs/api/java.base/java/util/HashMap.html","https://docs.oracle.com/en/java/javase/21/docs/api/java.base/java/util/HashMap.html")</f>
        <v>https://docs.oracle.com/en/java/javase/21/docs/api/java.base/java/util/HashMap.html</v>
      </c>
      <c r="E9" s="22" t="s">
        <v>627</v>
      </c>
      <c r="F9" s="38">
        <v>2026.0</v>
      </c>
      <c r="G9" s="39"/>
    </row>
    <row r="10" ht="31.5" customHeight="1">
      <c r="A10" s="22">
        <v>9.0</v>
      </c>
      <c r="B10" s="22" t="s">
        <v>1195</v>
      </c>
      <c r="C10" s="22" t="s">
        <v>30</v>
      </c>
      <c r="D10" s="37" t="str">
        <f>HYPERLINK("https://leetcode.com/problems/implement-stack-using-queues/","https://leetcode.com/problems/implement-stack-using-queues/")</f>
        <v>https://leetcode.com/problems/implement-stack-using-queues/</v>
      </c>
      <c r="E10" s="22" t="s">
        <v>627</v>
      </c>
      <c r="F10" s="38">
        <v>2026.0</v>
      </c>
      <c r="G10" s="37" t="str">
        <f>HYPERLINK("https://www.youtube.com/watch?v=rW4vm0-DLYc","https://www.youtube.com/watch?v=rW4vm0-DLYc")</f>
        <v>https://www.youtube.com/watch?v=rW4vm0-DLYc</v>
      </c>
    </row>
    <row r="11" ht="31.5" customHeight="1">
      <c r="A11" s="22">
        <v>10.0</v>
      </c>
      <c r="B11" s="22" t="s">
        <v>1201</v>
      </c>
      <c r="C11" s="22" t="s">
        <v>30</v>
      </c>
      <c r="D11" s="39"/>
      <c r="E11" s="22" t="s">
        <v>632</v>
      </c>
      <c r="F11" s="38">
        <v>2026.0</v>
      </c>
      <c r="G11" s="39"/>
    </row>
    <row r="12" ht="31.5" customHeight="1">
      <c r="A12" s="22">
        <v>11.0</v>
      </c>
      <c r="B12" s="22" t="s">
        <v>1203</v>
      </c>
      <c r="C12" s="22" t="s">
        <v>30</v>
      </c>
      <c r="D12" s="37" t="str">
        <f>HYPERLINK("https://developer.mozilla.org/en-US/docs/Web/HTTP/Reference/Methods","https://developer.mozilla.org/en-US/docs/Web/HTTP/Reference/Methods")</f>
        <v>https://developer.mozilla.org/en-US/docs/Web/HTTP/Reference/Methods</v>
      </c>
      <c r="E12" s="22" t="s">
        <v>632</v>
      </c>
      <c r="F12" s="38">
        <v>2026.0</v>
      </c>
      <c r="G12" s="39"/>
    </row>
    <row r="13" ht="31.5" customHeight="1">
      <c r="A13" s="22">
        <v>12.0</v>
      </c>
      <c r="B13" s="22" t="s">
        <v>1206</v>
      </c>
      <c r="C13" s="22" t="s">
        <v>30</v>
      </c>
      <c r="D13" s="37" t="str">
        <f>HYPERLINK("https://developer.mozilla.org/en-US/docs/Web/HTTP/Reference/Status","https://developer.mozilla.org/en-US/docs/Web/HTTP/Reference/Status")</f>
        <v>https://developer.mozilla.org/en-US/docs/Web/HTTP/Reference/Status</v>
      </c>
      <c r="E13" s="22" t="s">
        <v>632</v>
      </c>
      <c r="F13" s="38">
        <v>2026.0</v>
      </c>
      <c r="G13" s="39"/>
    </row>
    <row r="14" ht="31.5" customHeight="1">
      <c r="A14" s="22">
        <v>13.0</v>
      </c>
      <c r="B14" s="22" t="s">
        <v>641</v>
      </c>
      <c r="C14" s="22" t="s">
        <v>13</v>
      </c>
      <c r="D14" s="37" t="str">
        <f>HYPERLINK("https://aws.amazon.com/compare/the-difference-between-acid-and-base-database/","https://aws.amazon.com/compare/the-difference-between-acid-and-base-database/")</f>
        <v>https://aws.amazon.com/compare/the-difference-between-acid-and-base-database/</v>
      </c>
      <c r="E14" s="22" t="s">
        <v>632</v>
      </c>
      <c r="F14" s="38">
        <v>2026.0</v>
      </c>
      <c r="G14" s="39"/>
    </row>
    <row r="15" ht="31.5" customHeight="1">
      <c r="A15" s="22">
        <v>14.0</v>
      </c>
      <c r="B15" s="22" t="s">
        <v>1211</v>
      </c>
      <c r="C15" s="22" t="s">
        <v>30</v>
      </c>
      <c r="D15" s="37" t="str">
        <f>HYPERLINK("https://learn.microsoft.com/en-us/archive/msdn-magazine/2014/may/csharp-best-practices-dangers-of-violating-solid-principles-in-csharp","https://learn.microsoft.com/en-us/archive/msdn-magazine/2014/may/csharp-best-practices-dangers-of-violating-solid-principles-in-csharp")</f>
        <v>https://learn.microsoft.com/en-us/archive/msdn-magazine/2014/may/csharp-best-practices-dangers-of-violating-solid-principles-in-csharp</v>
      </c>
      <c r="E15" s="22" t="s">
        <v>632</v>
      </c>
      <c r="F15" s="38">
        <v>2026.0</v>
      </c>
      <c r="G15" s="39"/>
    </row>
    <row r="16" ht="31.5" customHeight="1">
      <c r="A16" s="22">
        <v>15.0</v>
      </c>
      <c r="B16" s="22" t="s">
        <v>1213</v>
      </c>
      <c r="C16" s="22" t="s">
        <v>30</v>
      </c>
      <c r="D16" s="37" t="str">
        <f>HYPERLINK("https://docs.oracle.com/en/java/javase/21/docs/api/java.base/java/lang/Thread.html#join()","https://docs.oracle.com/en/java/javase/21/docs/api/java.base/java/lang/Thread.html#join()")</f>
        <v>https://docs.oracle.com/en/java/javase/21/docs/api/java.base/java/lang/Thread.html#join()</v>
      </c>
      <c r="E16" s="22" t="s">
        <v>627</v>
      </c>
      <c r="F16" s="38">
        <v>2026.0</v>
      </c>
      <c r="G16" s="39"/>
    </row>
    <row r="17" ht="31.5" customHeight="1">
      <c r="A17" s="22">
        <v>16.0</v>
      </c>
      <c r="B17" s="22" t="s">
        <v>1214</v>
      </c>
      <c r="C17" s="22" t="s">
        <v>30</v>
      </c>
      <c r="D17" s="37" t="str">
        <f>HYPERLINK("https://developer.mozilla.org/en-US/docs/Web/HTTP/Reference/Methods/PATCH","https://developer.mozilla.org/en-US/docs/Web/HTTP/Reference/Methods/PATCH")</f>
        <v>https://developer.mozilla.org/en-US/docs/Web/HTTP/Reference/Methods/PATCH</v>
      </c>
      <c r="E17" s="22" t="s">
        <v>632</v>
      </c>
      <c r="F17" s="38">
        <v>2026.0</v>
      </c>
      <c r="G17" s="39"/>
    </row>
    <row r="18" ht="31.5" customHeight="1">
      <c r="A18" s="22">
        <v>17.0</v>
      </c>
      <c r="B18" s="22" t="s">
        <v>1217</v>
      </c>
      <c r="C18" s="22" t="s">
        <v>30</v>
      </c>
      <c r="D18" s="37" t="str">
        <f>HYPERLINK("https://developer.mozilla.org/en-US/docs/Web/HTTP/Reference/Status/429","https://developer.mozilla.org/en-US/docs/Web/HTTP/Reference/Status/429")</f>
        <v>https://developer.mozilla.org/en-US/docs/Web/HTTP/Reference/Status/429</v>
      </c>
      <c r="E18" s="22" t="s">
        <v>632</v>
      </c>
      <c r="F18" s="38">
        <v>2026.0</v>
      </c>
      <c r="G18" s="39"/>
    </row>
    <row r="19" ht="31.5" customHeight="1">
      <c r="A19" s="22">
        <v>18.0</v>
      </c>
      <c r="B19" s="22" t="s">
        <v>1219</v>
      </c>
      <c r="C19" s="22" t="s">
        <v>30</v>
      </c>
      <c r="D19" s="37" t="str">
        <f>HYPERLINK("https://www.ibm.com/think/topics/nosql-databases","https://www.ibm.com/think/topics/nosql-databases")</f>
        <v>https://www.ibm.com/think/topics/nosql-databases</v>
      </c>
      <c r="E19" s="22" t="s">
        <v>632</v>
      </c>
      <c r="F19" s="38">
        <v>2026.0</v>
      </c>
      <c r="G19" s="39"/>
    </row>
  </sheetData>
  <autoFilter ref="$A$1:$G$19"/>
  <dataValidations>
    <dataValidation type="list" allowBlank="1" showErrorMessage="1" sqref="C2:C19">
      <formula1>"Easy,Medium,Hard"</formula1>
    </dataValidation>
  </dataValidation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 ht="24.0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6</v>
      </c>
      <c r="G1" s="36" t="s">
        <v>526</v>
      </c>
    </row>
    <row r="2" ht="31.5" customHeight="1">
      <c r="A2" s="22">
        <v>1.0</v>
      </c>
      <c r="B2" s="22" t="s">
        <v>1164</v>
      </c>
      <c r="C2" s="22" t="s">
        <v>30</v>
      </c>
      <c r="D2" s="37" t="str">
        <f>HYPERLINK("https://www.geeksforgeeks.org/sql/sql-ddl-dql-dml-dcl-tcl-commands/","https://www.geeksforgeeks.org/sql/sql-ddl-dql-dml-dcl-tcl-commands/")</f>
        <v>https://www.geeksforgeeks.org/sql/sql-ddl-dql-dml-dcl-tcl-commands/</v>
      </c>
      <c r="E2" s="22" t="s">
        <v>559</v>
      </c>
      <c r="F2" s="38">
        <v>2021.0</v>
      </c>
      <c r="G2" s="37" t="str">
        <f>HYPERLINK("https://www.youtube.com/watch?v=vUj-kUEC_oA","https://www.youtube.com/watch?v=vUj-kUEC_oA")</f>
        <v>https://www.youtube.com/watch?v=vUj-kUEC_oA</v>
      </c>
    </row>
    <row r="3" ht="31.5" customHeight="1">
      <c r="A3" s="22">
        <v>2.0</v>
      </c>
      <c r="B3" s="22" t="s">
        <v>1176</v>
      </c>
      <c r="C3" s="22" t="s">
        <v>30</v>
      </c>
      <c r="D3" s="37" t="str">
        <f t="shared" ref="D3:D4" si="1">HYPERLINK("https://www.geeksforgeeks.org/dbms/introduction-of-database-normalization/","https://www.geeksforgeeks.org/dbms/introduction-of-database-normalization/")</f>
        <v>https://www.geeksforgeeks.org/dbms/introduction-of-database-normalization/</v>
      </c>
      <c r="E3" s="22" t="s">
        <v>559</v>
      </c>
      <c r="F3" s="38">
        <v>2021.0</v>
      </c>
      <c r="G3" s="37" t="str">
        <f>HYPERLINK("https://www.youtube.com/watch?v=ABwD8IYByfk","https://www.youtube.com/watch?v=ABwD8IYByfk")</f>
        <v>https://www.youtube.com/watch?v=ABwD8IYByfk</v>
      </c>
    </row>
    <row r="4" ht="31.5" customHeight="1">
      <c r="A4" s="22">
        <v>3.0</v>
      </c>
      <c r="B4" s="22" t="s">
        <v>1182</v>
      </c>
      <c r="C4" s="22" t="s">
        <v>30</v>
      </c>
      <c r="D4" s="37" t="str">
        <f t="shared" si="1"/>
        <v>https://www.geeksforgeeks.org/dbms/introduction-of-database-normalization/</v>
      </c>
      <c r="E4" s="22" t="s">
        <v>559</v>
      </c>
      <c r="F4" s="38">
        <v>2021.0</v>
      </c>
      <c r="G4" s="39"/>
    </row>
    <row r="5" ht="31.5" customHeight="1">
      <c r="A5" s="22">
        <v>4.0</v>
      </c>
      <c r="B5" s="22" t="s">
        <v>1186</v>
      </c>
      <c r="C5" s="22" t="s">
        <v>30</v>
      </c>
      <c r="D5" s="37" t="str">
        <f>HYPERLINK("https://www.geeksforgeeks.org/sql/sql-constraints/","https://www.geeksforgeeks.org/sql/sql-constraints/")</f>
        <v>https://www.geeksforgeeks.org/sql/sql-constraints/</v>
      </c>
      <c r="E5" s="22" t="s">
        <v>559</v>
      </c>
      <c r="F5" s="38">
        <v>2021.0</v>
      </c>
      <c r="G5" s="37" t="str">
        <f>HYPERLINK("https://www.youtube.com/watch?v=MR0PK0qkCD8","https://www.youtube.com/watch?v=MR0PK0qkCD8")</f>
        <v>https://www.youtube.com/watch?v=MR0PK0qkCD8</v>
      </c>
    </row>
    <row r="6" ht="31.5" customHeight="1">
      <c r="A6" s="22">
        <v>5.0</v>
      </c>
      <c r="B6" s="22" t="s">
        <v>1190</v>
      </c>
      <c r="C6" s="22" t="s">
        <v>30</v>
      </c>
      <c r="D6" s="37" t="str">
        <f>HYPERLINK("https://www.geeksforgeeks.org/dbms/relational-model-in-dbms/","https://www.geeksforgeeks.org/dbms/relational-model-in-dbms/")</f>
        <v>https://www.geeksforgeeks.org/dbms/relational-model-in-dbms/</v>
      </c>
      <c r="E6" s="22" t="s">
        <v>559</v>
      </c>
      <c r="F6" s="38">
        <v>2021.0</v>
      </c>
      <c r="G6" s="37" t="str">
        <f>HYPERLINK("https://www.youtube.com/watch?v=_UZLrD_R0T4","https://www.youtube.com/watch?v=_UZLrD_R0T4")</f>
        <v>https://www.youtube.com/watch?v=_UZLrD_R0T4</v>
      </c>
    </row>
    <row r="7" ht="31.5" customHeight="1">
      <c r="A7" s="22">
        <v>6.0</v>
      </c>
      <c r="B7" s="22" t="s">
        <v>1002</v>
      </c>
      <c r="C7" s="22" t="s">
        <v>30</v>
      </c>
      <c r="D7" s="37" t="str">
        <f>HYPERLINK("https://www.geeksforgeeks.org/sql/sql-join-set-1-inner-left-right-and-full-joins/","https://www.geeksforgeeks.org/sql/sql-join-set-1-inner-left-right-and-full-joins/")</f>
        <v>https://www.geeksforgeeks.org/sql/sql-join-set-1-inner-left-right-and-full-joins/</v>
      </c>
      <c r="E7" s="22" t="s">
        <v>559</v>
      </c>
      <c r="F7" s="38">
        <v>2021.0</v>
      </c>
      <c r="G7" s="37" t="str">
        <f>HYPERLINK("https://www.youtube.com/watch?v=h4EQBAzW3m4","https://www.youtube.com/watch?v=h4EQBAzW3m4")</f>
        <v>https://www.youtube.com/watch?v=h4EQBAzW3m4</v>
      </c>
    </row>
    <row r="8" ht="31.5" customHeight="1">
      <c r="A8" s="22">
        <v>7.0</v>
      </c>
      <c r="B8" s="22" t="s">
        <v>1199</v>
      </c>
      <c r="C8" s="22" t="s">
        <v>30</v>
      </c>
      <c r="D8" s="37" t="str">
        <f>HYPERLINK("https://www.geeksforgeeks.org/java/understanding-encapsulation-inheritance-polymorphism-abstraction-in-oops/","https://www.geeksforgeeks.org/java/understanding-encapsulation-inheritance-polymorphism-abstraction-in-oops/")</f>
        <v>https://www.geeksforgeeks.org/java/understanding-encapsulation-inheritance-polymorphism-abstraction-in-oops/</v>
      </c>
      <c r="E8" s="22" t="s">
        <v>559</v>
      </c>
      <c r="F8" s="38">
        <v>2021.0</v>
      </c>
      <c r="G8" s="37" t="str">
        <f>HYPERLINK("https://www.youtube.com/watch?v=rnYOshIg7mU","https://www.youtube.com/watch?v=rnYOshIg7mU")</f>
        <v>https://www.youtube.com/watch?v=rnYOshIg7mU</v>
      </c>
    </row>
    <row r="9" ht="31.5" customHeight="1">
      <c r="A9" s="22">
        <v>8.0</v>
      </c>
      <c r="B9" s="22" t="s">
        <v>1204</v>
      </c>
      <c r="C9" s="22" t="s">
        <v>30</v>
      </c>
      <c r="D9" s="37" t="str">
        <f>HYPERLINK("https://www.geeksforgeeks.org/cpp/function-overloading-c/","https://www.geeksforgeeks.org/cpp/function-overloading-c/")</f>
        <v>https://www.geeksforgeeks.org/cpp/function-overloading-c/</v>
      </c>
      <c r="E9" s="22" t="s">
        <v>559</v>
      </c>
      <c r="F9" s="38">
        <v>2021.0</v>
      </c>
      <c r="G9" s="37" t="str">
        <f>HYPERLINK("https://www.youtube.com/watch?v=7mqEAihxJks","https://www.youtube.com/watch?v=7mqEAihxJks")</f>
        <v>https://www.youtube.com/watch?v=7mqEAihxJks</v>
      </c>
    </row>
    <row r="10" ht="31.5" customHeight="1">
      <c r="A10" s="22">
        <v>9.0</v>
      </c>
      <c r="B10" s="22" t="s">
        <v>1208</v>
      </c>
      <c r="C10" s="22" t="s">
        <v>30</v>
      </c>
      <c r="D10" s="37" t="str">
        <f>HYPERLINK("https://www.geeksforgeeks.org/cpp/encapsulation-in-cpp/","https://www.geeksforgeeks.org/cpp/encapsulation-in-cpp/")</f>
        <v>https://www.geeksforgeeks.org/cpp/encapsulation-in-cpp/</v>
      </c>
      <c r="E10" s="22" t="s">
        <v>559</v>
      </c>
      <c r="F10" s="38">
        <v>2021.0</v>
      </c>
      <c r="G10" s="37" t="str">
        <f>HYPERLINK("https://www.youtube.com/watch?v=GjLRL2zalpA","https://www.youtube.com/watch?v=GjLRL2zalpA")</f>
        <v>https://www.youtube.com/watch?v=GjLRL2zalpA</v>
      </c>
    </row>
  </sheetData>
  <autoFilter ref="$A$1:$G$10"/>
  <dataValidations>
    <dataValidation type="list" allowBlank="1" showErrorMessage="1" sqref="C2:C10">
      <formula1>"Easy,Medium,Hard"</formula1>
    </dataValidation>
  </dataValidation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52.63"/>
    <col customWidth="1" min="3" max="3" width="12.63"/>
    <col customWidth="1" min="4" max="4" width="48.88"/>
    <col customWidth="1" min="5" max="5" width="28.88"/>
    <col customWidth="1" min="6" max="6" width="10.13"/>
    <col customWidth="1" min="7" max="7" width="48.88"/>
  </cols>
  <sheetData>
    <row r="1" ht="24.0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6</v>
      </c>
      <c r="G1" s="36" t="s">
        <v>526</v>
      </c>
    </row>
    <row r="2" ht="31.5" customHeight="1">
      <c r="A2" s="22">
        <v>1.0</v>
      </c>
      <c r="B2" s="22" t="s">
        <v>1233</v>
      </c>
      <c r="C2" s="22" t="s">
        <v>30</v>
      </c>
      <c r="D2" s="39"/>
      <c r="E2" s="22" t="s">
        <v>1234</v>
      </c>
      <c r="F2" s="38">
        <v>2026.0</v>
      </c>
      <c r="G2" s="39"/>
    </row>
    <row r="3" ht="31.5" customHeight="1">
      <c r="A3" s="22">
        <v>2.0</v>
      </c>
      <c r="B3" s="22" t="s">
        <v>1235</v>
      </c>
      <c r="C3" s="22" t="s">
        <v>13</v>
      </c>
      <c r="D3" s="37" t="str">
        <f>HYPERLINK("https://www.geeksforgeeks.org/zeckendorfs-theorem-non-neighbouring-fibonacci-representation/","https://www.geeksforgeeks.org/zeckendorfs-theorem-non-neighbouring-fibonacci-representation/")</f>
        <v>https://www.geeksforgeeks.org/zeckendorfs-theorem-non-neighbouring-fibonacci-representation/</v>
      </c>
      <c r="E3" s="22" t="s">
        <v>1234</v>
      </c>
      <c r="F3" s="38">
        <v>2026.0</v>
      </c>
      <c r="G3" s="37" t="str">
        <f>HYPERLINK("https://www.youtube.com/watch?v=o_iRRJr3tzo","https://www.youtube.com/watch?v=o_iRRJr3tzo")</f>
        <v>https://www.youtube.com/watch?v=o_iRRJr3tzo</v>
      </c>
    </row>
    <row r="4" ht="31.5" customHeight="1">
      <c r="A4" s="22">
        <v>3.0</v>
      </c>
      <c r="B4" s="22" t="s">
        <v>1236</v>
      </c>
      <c r="C4" s="22" t="s">
        <v>30</v>
      </c>
      <c r="D4" s="39"/>
      <c r="E4" s="22" t="s">
        <v>1234</v>
      </c>
      <c r="F4" s="38">
        <v>2026.0</v>
      </c>
      <c r="G4" s="39"/>
    </row>
    <row r="5" ht="31.5" customHeight="1">
      <c r="A5" s="22">
        <v>4.0</v>
      </c>
      <c r="B5" s="22" t="s">
        <v>1237</v>
      </c>
      <c r="C5" s="22" t="s">
        <v>13</v>
      </c>
      <c r="D5" s="37" t="str">
        <f>HYPERLINK("https://docs.oracle.com/en/java/javase/21/docs/api/java.base/java/time/Period.html","https://docs.oracle.com/en/java/javase/21/docs/api/java.base/java/time/Period.html")</f>
        <v>https://docs.oracle.com/en/java/javase/21/docs/api/java.base/java/time/Period.html</v>
      </c>
      <c r="E5" s="22" t="s">
        <v>1234</v>
      </c>
      <c r="F5" s="38">
        <v>2026.0</v>
      </c>
      <c r="G5" s="39"/>
    </row>
    <row r="6" ht="31.5" customHeight="1">
      <c r="A6" s="22">
        <v>5.0</v>
      </c>
      <c r="B6" s="22" t="s">
        <v>1238</v>
      </c>
      <c r="C6" s="22" t="s">
        <v>13</v>
      </c>
      <c r="D6" s="37" t="str">
        <f>HYPERLINK("https://www.geeksforgeeks.org/minimum-number-platforms-required-railwaybus-station/","https://www.geeksforgeeks.org/minimum-number-platforms-required-railwaybus-station/")</f>
        <v>https://www.geeksforgeeks.org/minimum-number-platforms-required-railwaybus-station/</v>
      </c>
      <c r="E6" s="22" t="s">
        <v>1234</v>
      </c>
      <c r="F6" s="38">
        <v>2026.0</v>
      </c>
      <c r="G6" s="37" t="str">
        <f>HYPERLINK("https://www.youtube.com/watch?v=AsGzwR_FWok","https://www.youtube.com/watch?v=AsGzwR_FWok")</f>
        <v>https://www.youtube.com/watch?v=AsGzwR_FWok</v>
      </c>
    </row>
    <row r="7" ht="31.5" customHeight="1">
      <c r="A7" s="22">
        <v>6.0</v>
      </c>
      <c r="B7" s="22" t="s">
        <v>1239</v>
      </c>
      <c r="C7" s="22" t="s">
        <v>21</v>
      </c>
      <c r="D7" s="39"/>
      <c r="E7" s="22" t="s">
        <v>1240</v>
      </c>
      <c r="F7" s="38">
        <v>2026.0</v>
      </c>
      <c r="G7" s="39"/>
    </row>
  </sheetData>
  <autoFilter ref="$A$1:$G$7"/>
  <dataValidations>
    <dataValidation type="list" allowBlank="1" showErrorMessage="1" sqref="C2:C7">
      <formula1>"Easy,Medium,Hard"</formula1>
    </dataValidation>
  </dataValidations>
  <drawing r:id="rId1"/>
</worksheet>
</file>